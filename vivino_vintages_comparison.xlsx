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_greg\post graduation\wine_extraction\"/>
    </mc:Choice>
  </mc:AlternateContent>
  <xr:revisionPtr revIDLastSave="0" documentId="13_ncr:1_{BF879B84-E522-46C6-88CC-1B472D32F6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manee_conti" sheetId="3" r:id="rId1"/>
    <sheet name="montelena estate" sheetId="2" r:id="rId2"/>
    <sheet name="ridge_montebello" sheetId="1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<sst xmlns="http://schemas.openxmlformats.org/spreadsheetml/2006/main" count="178" uniqueCount="63">
  <si>
    <t>Vintage</t>
  </si>
  <si>
    <t>Currency</t>
  </si>
  <si>
    <t>Availability</t>
  </si>
  <si>
    <t>URL</t>
  </si>
  <si>
    <t>USD</t>
  </si>
  <si>
    <t>Only available from external shops (avg price)</t>
  </si>
  <si>
    <t>https://www.vivino.com/en/ridge-vineyards-monte-bello/w/3715?ref=nav-search&amp;year=2021#all_reviews</t>
  </si>
  <si>
    <t>Available for purchase</t>
  </si>
  <si>
    <t>https://www.vivino.com/en/ridge-vineyards-monte-bello/w/3715?ref=nav-search&amp;year=2020#all_reviews</t>
  </si>
  <si>
    <t>https://www.vivino.com/en/ridge-vineyards-monte-bello/w/3715?ref=nav-search&amp;year=2019#all_reviews</t>
  </si>
  <si>
    <t>https://www.vivino.com/en/ridge-vineyards-monte-bello/w/3715?ref=nav-search&amp;year=2014#all_reviews</t>
  </si>
  <si>
    <t>https://www.vivino.com/en/ridge-vineyards-monte-bello/w/3715?ref=nav-search&amp;year=2008#all_reviews</t>
  </si>
  <si>
    <t>https://www.vivino.com/en/ridge-vineyards-monte-bello/w/3715?ref=nav-search&amp;year=2005#all_reviews</t>
  </si>
  <si>
    <t>https://www.vivino.com/en/ridge-vineyards-monte-bello/w/3715?ref=nav-search&amp;year=2004#all_reviews</t>
  </si>
  <si>
    <t>https://www.vivino.com/en/ridge-vineyards-monte-bello/w/3715?ref=nav-search&amp;year=2003#all_reviews</t>
  </si>
  <si>
    <t>https://www.vivino.com/en/ridge-vineyards-monte-bello/w/3715?ref=nav-search&amp;year=2002#all_reviews</t>
  </si>
  <si>
    <t>https://www.vivino.com/en/ridge-vineyards-monte-bello/w/3715?ref=nav-search&amp;year=2000#all_reviews</t>
  </si>
  <si>
    <t>https://www.vivino.com/en/ridge-vineyards-monte-bello/w/3715?ref=nav-search&amp;year=1999#all_reviews</t>
  </si>
  <si>
    <t>Mean Entropy M1</t>
  </si>
  <si>
    <t>Mean Entropy M2</t>
  </si>
  <si>
    <t>Number of Reviews</t>
  </si>
  <si>
    <t>https://www.vivino.com/en/chateau-montelena-the-montelena-estate-cabernet-sauvignon/w/1376076?ref=nav-search&amp;year=2021#all_reviews</t>
  </si>
  <si>
    <t>https://www.vivino.com/en/chateau-montelena-the-montelena-estate-cabernet-sauvignon/w/1376076?ref=nav-search&amp;year=2019#all_reviews</t>
  </si>
  <si>
    <t xml:space="preserve"> -</t>
  </si>
  <si>
    <t>https://www.vivino.com/en/chateau-montelena-the-montelena-estate-cabernet-sauvignon/w/1376076?ref=nav-search&amp;year=2018#all_reviews</t>
  </si>
  <si>
    <t>https://www.vivino.com/en/chateau-montelena-the-montelena-estate-cabernet-sauvignon/w/1376076?ref=nav-search&amp;year=2017#all_reviews</t>
  </si>
  <si>
    <t>https://www.vivino.com/en/chateau-montelena-the-montelena-estate-cabernet-sauvignon/w/1376076?ref=nav-search&amp;year=2015#all_reviews</t>
  </si>
  <si>
    <t>https://www.vivino.com/en/chateau-montelena-the-montelena-estate-cabernet-sauvignon/w/1376076?ref=nav-search&amp;year=2014#all_reviews</t>
  </si>
  <si>
    <t>https://www.vivino.com/en/chateau-montelena-the-montelena-estate-cabernet-sauvignon/w/1376076?ref=nav-search&amp;year=2011#all_reviews</t>
  </si>
  <si>
    <t>https://www.vivino.com/en/chateau-montelena-the-montelena-estate-cabernet-sauvignon/w/1376076?ref=nav-search&amp;year=2010#all_reviews</t>
  </si>
  <si>
    <t>https://www.vivino.com/en/chateau-montelena-the-montelena-estate-cabernet-sauvignon/w/1376076?ref=nav-search&amp;year=2009#all_reviews</t>
  </si>
  <si>
    <t>https://www.vivino.com/en/chateau-montelena-the-montelena-estate-cabernet-sauvignon/w/1376076?ref=nav-search&amp;year=2008#all_reviews</t>
  </si>
  <si>
    <t>https://www.vivino.com/en/chateau-montelena-the-montelena-estate-cabernet-sauvignon/w/1376076?ref=nav-search&amp;year=2006#all_reviews</t>
  </si>
  <si>
    <t>https://www.vivino.com/en/chateau-montelena-the-montelena-estate-cabernet-sauvignon/w/1376076?ref=nav-search&amp;year=2004#all_reviews</t>
  </si>
  <si>
    <t>https://www.vivino.com/en/chateau-montelena-the-montelena-estate-cabernet-sauvignon/w/1376076?ref=nav-search&amp;year=2003#all_reviews</t>
  </si>
  <si>
    <t>https://www.vivino.com/en/chateau-montelena-the-montelena-estate-cabernet-sauvignon/w/1376076?ref=nav-search&amp;year=2002#all_reviews</t>
  </si>
  <si>
    <t>https://www.vivino.com/en/chateau-montelena-the-montelena-estate-cabernet-sauvignon/w/1376076?ref=nav-search&amp;year=2001#all_reviews</t>
  </si>
  <si>
    <t>https://www.vivino.com/en/chateau-montelena-the-montelena-estate-cabernet-sauvignon/w/1376076?ref=nav-search&amp;year=1999#all_reviews</t>
  </si>
  <si>
    <t>https://www.vivino.com/en/chateau-montelena-the-montelena-estate-cabernet-sauvignon/w/1376076?ref=nav-search&amp;year=1997#all_reviews</t>
  </si>
  <si>
    <t>https://www.vivino.com/en/chateau-montelena-the-montelena-estate-cabernet-sauvignon/w/1376076?ref=nav-search&amp;year=1994#all_reviews</t>
  </si>
  <si>
    <t>https://www.vivino.com/en/chateau-montelena-the-montelena-estate-cabernet-sauvignon/w/1376076?ref=nav-search&amp;year=1993#all_reviews</t>
  </si>
  <si>
    <t>https://www.vivino.com/en/chateau-montelena-the-montelena-estate-cabernet-sauvignon/w/1376076?ref=nav-search&amp;year=1992#all_reviews</t>
  </si>
  <si>
    <t>https://www.vivino.com/en/chateau-montelena-the-montelena-estate-cabernet-sauvignon/w/1376076?ref=nav-search&amp;year=1987#all_reviews</t>
  </si>
  <si>
    <t>https://www.vivino.com/en/chateau-montelena-the-montelena-estate-cabernet-sauvignon/w/1376076?ref=nav-search&amp;year=1986#all_reviews</t>
  </si>
  <si>
    <t>https://www.vivino.com/en/chateau-montelena-the-montelena-estate-cabernet-sauvignon/w/1376076?ref=nav-search&amp;year=1983#all_reviews</t>
  </si>
  <si>
    <t>https://www.vivino.com/en/chateau-montelena-the-montelena-estate-cabernet-sauvignon/w/1376076?ref=nav-search&amp;year=1980#all_reviews</t>
  </si>
  <si>
    <t>https://www.vivino.com/en/chateau-montelena-the-montelena-estate-cabernet-sauvignon/w/1376076?ref=nav-search&amp;year=1979#all_reviews</t>
  </si>
  <si>
    <t>https://www.vivino.com/en/chateau-montelena-the-montelena-estate-cabernet-sauvignon/w/1376076?ref=nav-search&amp;year=1978#all_reviews</t>
  </si>
  <si>
    <t>https://www.vivino.com/en/domaine-de-la-romanee-conti-romanee-conti-grand-cru/w/83912?ref=nav-search&amp;year=2022#all_reviews</t>
  </si>
  <si>
    <t>https://www.vivino.com/en/domaine-de-la-romanee-conti-romanee-conti-grand-cru/w/83912?ref=nav-search&amp;year=2021#all_reviews</t>
  </si>
  <si>
    <t>https://www.vivino.com/en/domaine-de-la-romanee-conti-romanee-conti-grand-cru/w/83912?ref=nav-search&amp;year=2020#all_reviews</t>
  </si>
  <si>
    <t>https://www.vivino.com/en/domaine-de-la-romanee-conti-romanee-conti-grand-cru/w/83912?ref=nav-search&amp;year=2019#all_reviews</t>
  </si>
  <si>
    <t>https://www.vivino.com/en/domaine-de-la-romanee-conti-romanee-conti-grand-cru/w/83912?ref=nav-search&amp;year=2018#all_reviews</t>
  </si>
  <si>
    <t>https://www.vivino.com/en/domaine-de-la-romanee-conti-romanee-conti-grand-cru/w/83912?ref=nav-search&amp;year=2015#all_reviews</t>
  </si>
  <si>
    <t>https://www.vivino.com/en/domaine-de-la-romanee-conti-romanee-conti-grand-cru/w/83912?ref=nav-search&amp;year=2008#all_reviews</t>
  </si>
  <si>
    <t>https://www.vivino.com/en/domaine-de-la-romanee-conti-romanee-conti-grand-cru/w/83912?ref=nav-search&amp;year=2004#all_reviews</t>
  </si>
  <si>
    <t>https://www.vivino.com/en/domaine-de-la-romanee-conti-romanee-conti-grand-cru/w/83912?ref=nav-search&amp;year=2003#all_reviews</t>
  </si>
  <si>
    <t>https://www.vivino.com/en/domaine-de-la-romanee-conti-romanee-conti-grand-cru/w/83912?ref=nav-search&amp;year=1972#all_reviews</t>
  </si>
  <si>
    <t>https://www.vivino.com/en/domaine-de-la-romanee-conti-romanee-conti-grand-cru/w/83912?ref=nav-search&amp;year=1969#all_reviews</t>
  </si>
  <si>
    <t>Listed Price</t>
  </si>
  <si>
    <t>Market Price</t>
  </si>
  <si>
    <t>Reported Average Rating</t>
  </si>
  <si>
    <t>Calculated 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</si>
</sst>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18" fillId="0" borderId="0" xfId="42"/>
    <xf numFmtId="6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romanee_conti!$B$1</c:f>
              <c:strCache>
                <c:ptCount val="1"/>
                <c:pt idx="0">
                  <c:v>Market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5570894063773839E-2"/>
                  <c:y val="0.12734944590259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3C-4809-8A34-9EB7707501C8}"/>
                </c:ext>
              </c:extLst>
            </c:dLbl>
            <c:dLbl>
              <c:idx val="1"/>
              <c:layout>
                <c:manualLayout>
                  <c:x val="3.8265929524766852E-2"/>
                  <c:y val="-0.104132035578885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3C-4809-8A34-9EB7707501C8}"/>
                </c:ext>
              </c:extLst>
            </c:dLbl>
            <c:dLbl>
              <c:idx val="2"/>
              <c:layout>
                <c:manualLayout>
                  <c:x val="-3.974825487239627E-2"/>
                  <c:y val="-0.113391294838145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3C-4809-8A34-9EB7707501C8}"/>
                </c:ext>
              </c:extLst>
            </c:dLbl>
            <c:dLbl>
              <c:idx val="3"/>
              <c:layout>
                <c:manualLayout>
                  <c:x val="4.2953816943094879E-2"/>
                  <c:y val="2.5497594050743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3C-4809-8A34-9EB7707501C8}"/>
                </c:ext>
              </c:extLst>
            </c:dLbl>
            <c:dLbl>
              <c:idx val="4"/>
              <c:layout>
                <c:manualLayout>
                  <c:x val="-9.3648964092254525E-2"/>
                  <c:y val="-0.118020924467774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3C-4809-8A34-9EB7707501C8}"/>
                </c:ext>
              </c:extLst>
            </c:dLbl>
            <c:dLbl>
              <c:idx val="5"/>
              <c:layout>
                <c:manualLayout>
                  <c:x val="-5.9173842631373208E-2"/>
                  <c:y val="-0.168946850393700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3C-4809-8A34-9EB7707501C8}"/>
                </c:ext>
              </c:extLst>
            </c:dLbl>
            <c:dLbl>
              <c:idx val="8"/>
              <c:layout>
                <c:manualLayout>
                  <c:x val="-7.4776679510805827E-2"/>
                  <c:y val="-9.0243146689997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3C-4809-8A34-9EB7707501C8}"/>
                </c:ext>
              </c:extLst>
            </c:dLbl>
            <c:dLbl>
              <c:idx val="9"/>
              <c:layout>
                <c:manualLayout>
                  <c:x val="4.6559446026693471E-3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3C-4809-8A34-9EB770750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romanee_conti!$B$2:$B$12</c:f>
              <c:numCache>
                <c:formatCode>#,##0</c:formatCode>
                <c:ptCount val="11"/>
                <c:pt idx="0">
                  <c:v>42211</c:v>
                </c:pt>
                <c:pt idx="1">
                  <c:v>41574</c:v>
                </c:pt>
                <c:pt idx="2">
                  <c:v>41574</c:v>
                </c:pt>
                <c:pt idx="3" formatCode="#,##0.00">
                  <c:v>22574.66</c:v>
                </c:pt>
                <c:pt idx="4">
                  <c:v>42204</c:v>
                </c:pt>
                <c:pt idx="5" formatCode="#,##0.00">
                  <c:v>24333.73</c:v>
                </c:pt>
                <c:pt idx="6" formatCode="#,##0.00">
                  <c:v>27991.43</c:v>
                </c:pt>
                <c:pt idx="7">
                  <c:v>30294</c:v>
                </c:pt>
                <c:pt idx="8" formatCode="#,##0.00">
                  <c:v>21990.27</c:v>
                </c:pt>
                <c:pt idx="9" formatCode="#,##0.00">
                  <c:v>12991.02</c:v>
                </c:pt>
                <c:pt idx="10" formatCode="#,##0.00">
                  <c:v>13971.72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3C-4809-8A34-9EB7707501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23904208"/>
        <c:axId val="723906704"/>
      </c:scatterChart>
      <c:valAx>
        <c:axId val="72390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06704"/>
        <c:crosses val="autoZero"/>
        <c:crossBetween val="midCat"/>
      </c:valAx>
      <c:valAx>
        <c:axId val="7239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0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romanee_conti!$C$1</c:f>
              <c:strCache>
                <c:ptCount val="1"/>
                <c:pt idx="0">
                  <c:v>Listed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002087425649384E-4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F9-4440-BEEE-F53BFB4F3BDC}"/>
                </c:ext>
              </c:extLst>
            </c:dLbl>
            <c:dLbl>
              <c:idx val="1"/>
              <c:layout>
                <c:manualLayout>
                  <c:x val="2.515633307030651E-2"/>
                  <c:y val="0.10883092738407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F9-4440-BEEE-F53BFB4F3BDC}"/>
                </c:ext>
              </c:extLst>
            </c:dLbl>
            <c:dLbl>
              <c:idx val="2"/>
              <c:layout>
                <c:manualLayout>
                  <c:x val="-7.7189082707945084E-2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F9-4440-BEEE-F53BFB4F3BDC}"/>
                </c:ext>
              </c:extLst>
            </c:dLbl>
            <c:dLbl>
              <c:idx val="3"/>
              <c:layout>
                <c:manualLayout>
                  <c:x val="6.6772996659000758E-3"/>
                  <c:y val="0.14123833479148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F9-4440-BEEE-F53BFB4F3BDC}"/>
                </c:ext>
              </c:extLst>
            </c:dLbl>
            <c:dLbl>
              <c:idx val="4"/>
              <c:layout>
                <c:manualLayout>
                  <c:x val="-3.596662357503809E-2"/>
                  <c:y val="0.182905001458151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F9-4440-BEEE-F53BFB4F3BDC}"/>
                </c:ext>
              </c:extLst>
            </c:dLbl>
            <c:dLbl>
              <c:idx val="5"/>
              <c:layout>
                <c:manualLayout>
                  <c:x val="-7.008176216778883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F9-4440-BEEE-F53BFB4F3BDC}"/>
                </c:ext>
              </c:extLst>
            </c:dLbl>
            <c:dLbl>
              <c:idx val="6"/>
              <c:layout>
                <c:manualLayout>
                  <c:x val="-1.4644661954569215E-2"/>
                  <c:y val="0.145867964421113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F9-4440-BEEE-F53BFB4F3BDC}"/>
                </c:ext>
              </c:extLst>
            </c:dLbl>
            <c:dLbl>
              <c:idx val="7"/>
              <c:layout>
                <c:manualLayout>
                  <c:x val="-1.1801733738506671E-2"/>
                  <c:y val="-0.17357648002333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F9-4440-BEEE-F53BFB4F3BDC}"/>
                </c:ext>
              </c:extLst>
            </c:dLbl>
            <c:dLbl>
              <c:idx val="8"/>
              <c:layout>
                <c:manualLayout>
                  <c:x val="-9.9932508436445439E-2"/>
                  <c:y val="-0.136539442986293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F9-4440-BEEE-F53BFB4F3BDC}"/>
                </c:ext>
              </c:extLst>
            </c:dLbl>
            <c:dLbl>
              <c:idx val="10"/>
              <c:layout>
                <c:manualLayout>
                  <c:x val="-8.28749391400702E-2"/>
                  <c:y val="-0.104132035578886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F9-4440-BEEE-F53BFB4F3B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romanee_conti!$C$2:$C$12</c:f>
              <c:numCache>
                <c:formatCode>"$"#,##0_);[Red]\("$"#,##0\)</c:formatCode>
                <c:ptCount val="11"/>
                <c:pt idx="0">
                  <c:v>42211</c:v>
                </c:pt>
                <c:pt idx="1">
                  <c:v>41574</c:v>
                </c:pt>
                <c:pt idx="2">
                  <c:v>41574</c:v>
                </c:pt>
                <c:pt idx="3">
                  <c:v>41574</c:v>
                </c:pt>
                <c:pt idx="4">
                  <c:v>42204</c:v>
                </c:pt>
                <c:pt idx="5">
                  <c:v>42204</c:v>
                </c:pt>
                <c:pt idx="6">
                  <c:v>30303</c:v>
                </c:pt>
                <c:pt idx="7">
                  <c:v>30303</c:v>
                </c:pt>
                <c:pt idx="8">
                  <c:v>30303</c:v>
                </c:pt>
                <c:pt idx="9">
                  <c:v>30303</c:v>
                </c:pt>
                <c:pt idx="10">
                  <c:v>30303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F9-4440-BEEE-F53BFB4F3B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29550400"/>
        <c:axId val="729562048"/>
      </c:scatterChart>
      <c:valAx>
        <c:axId val="7295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62048"/>
        <c:crosses val="autoZero"/>
        <c:crossBetween val="midCat"/>
      </c:valAx>
      <c:valAx>
        <c:axId val="7295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5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romanee_conti!$F$1</c:f>
              <c:strCache>
                <c:ptCount val="1"/>
                <c:pt idx="0">
                  <c:v>Reported Average 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6012917999397983E-2"/>
                  <c:y val="1.1608705161854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93-48F8-9509-1CF70664E570}"/>
                </c:ext>
              </c:extLst>
            </c:dLbl>
            <c:dLbl>
              <c:idx val="2"/>
              <c:layout>
                <c:manualLayout>
                  <c:x val="5.5455463565446603E-2"/>
                  <c:y val="-3.00579615048118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93-48F8-9509-1CF70664E570}"/>
                </c:ext>
              </c:extLst>
            </c:dLbl>
            <c:dLbl>
              <c:idx val="3"/>
              <c:layout>
                <c:manualLayout>
                  <c:x val="6.2600872640116129E-2"/>
                  <c:y val="2.5497594050743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93-48F8-9509-1CF70664E570}"/>
                </c:ext>
              </c:extLst>
            </c:dLbl>
            <c:dLbl>
              <c:idx val="4"/>
              <c:layout>
                <c:manualLayout>
                  <c:x val="-4.0293018035125028E-2"/>
                  <c:y val="-0.173576480023330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93-48F8-9509-1CF70664E570}"/>
                </c:ext>
              </c:extLst>
            </c:dLbl>
            <c:dLbl>
              <c:idx val="5"/>
              <c:layout>
                <c:manualLayout>
                  <c:x val="-2.0285872626050361E-2"/>
                  <c:y val="-0.10876166520851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93-48F8-9509-1CF70664E570}"/>
                </c:ext>
              </c:extLst>
            </c:dLbl>
            <c:dLbl>
              <c:idx val="6"/>
              <c:layout>
                <c:manualLayout>
                  <c:x val="-2.886036351565379E-2"/>
                  <c:y val="-0.23376166520851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93-48F8-9509-1CF70664E570}"/>
                </c:ext>
              </c:extLst>
            </c:dLbl>
            <c:dLbl>
              <c:idx val="7"/>
              <c:layout>
                <c:manualLayout>
                  <c:x val="4.4022809045975254E-2"/>
                  <c:y val="-2.07987022455526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93-48F8-9509-1CF70664E570}"/>
                </c:ext>
              </c:extLst>
            </c:dLbl>
            <c:dLbl>
              <c:idx val="8"/>
              <c:layout>
                <c:manualLayout>
                  <c:x val="2.6873827266768503E-2"/>
                  <c:y val="1.1608705161854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93-48F8-9509-1CF70664E570}"/>
                </c:ext>
              </c:extLst>
            </c:dLbl>
            <c:dLbl>
              <c:idx val="9"/>
              <c:layout>
                <c:manualLayout>
                  <c:x val="-2.0285872626050389E-2"/>
                  <c:y val="-0.127280183727034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93-48F8-9509-1CF70664E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romanee_conti!$F$2:$F$12</c:f>
              <c:numCache>
                <c:formatCode>General</c:formatCode>
                <c:ptCount val="11"/>
                <c:pt idx="1">
                  <c:v>4.3</c:v>
                </c:pt>
                <c:pt idx="2">
                  <c:v>4.5</c:v>
                </c:pt>
                <c:pt idx="3">
                  <c:v>4.7</c:v>
                </c:pt>
                <c:pt idx="4">
                  <c:v>4.5999999999999996</c:v>
                </c:pt>
                <c:pt idx="5">
                  <c:v>4.8</c:v>
                </c:pt>
                <c:pt idx="6">
                  <c:v>4.8</c:v>
                </c:pt>
                <c:pt idx="7">
                  <c:v>4.7</c:v>
                </c:pt>
                <c:pt idx="8">
                  <c:v>4.5999999999999996</c:v>
                </c:pt>
                <c:pt idx="9">
                  <c:v>4.7</c:v>
                </c:pt>
                <c:pt idx="10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93-48F8-9509-1CF70664E570}"/>
            </c:ext>
          </c:extLst>
        </c:ser>
        <c:ser>
          <c:idx val="1"/>
          <c:order val="1"/>
          <c:tx>
            <c:strRef>
              <c:f>romanee_conti!$G$1</c:f>
              <c:strCache>
                <c:ptCount val="1"/>
                <c:pt idx="0">
                  <c:v>Calculated Average Rating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0339406931046802E-2"/>
                  <c:y val="3.012722368037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93-48F8-9509-1CF70664E570}"/>
                </c:ext>
              </c:extLst>
            </c:dLbl>
            <c:dLbl>
              <c:idx val="1"/>
              <c:layout>
                <c:manualLayout>
                  <c:x val="5.5112483929862358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93-48F8-9509-1CF70664E570}"/>
                </c:ext>
              </c:extLst>
            </c:dLbl>
            <c:dLbl>
              <c:idx val="2"/>
              <c:layout>
                <c:manualLayout>
                  <c:x val="-2.9031853333445861E-2"/>
                  <c:y val="-0.243020924467774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693-48F8-9509-1CF70664E570}"/>
                </c:ext>
              </c:extLst>
            </c:dLbl>
            <c:dLbl>
              <c:idx val="3"/>
              <c:layout>
                <c:manualLayout>
                  <c:x val="-5.0696733647843856E-2"/>
                  <c:y val="-0.18283573928258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693-48F8-9509-1CF70664E570}"/>
                </c:ext>
              </c:extLst>
            </c:dLbl>
            <c:dLbl>
              <c:idx val="4"/>
              <c:layout>
                <c:manualLayout>
                  <c:x val="-8.7795697563528036E-2"/>
                  <c:y val="1.1608705161854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693-48F8-9509-1CF70664E570}"/>
                </c:ext>
              </c:extLst>
            </c:dLbl>
            <c:dLbl>
              <c:idx val="5"/>
              <c:layout>
                <c:manualLayout>
                  <c:x val="-8.6823921929373077E-2"/>
                  <c:y val="3.93864829396324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693-48F8-9509-1CF70664E570}"/>
                </c:ext>
              </c:extLst>
            </c:dLbl>
            <c:dLbl>
              <c:idx val="6"/>
              <c:layout>
                <c:manualLayout>
                  <c:x val="5.4376000427599283E-3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693-48F8-9509-1CF70664E570}"/>
                </c:ext>
              </c:extLst>
            </c:dLbl>
            <c:dLbl>
              <c:idx val="7"/>
              <c:layout>
                <c:manualLayout>
                  <c:x val="-4.6352324930444791E-2"/>
                  <c:y val="-0.168946850393700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693-48F8-9509-1CF70664E570}"/>
                </c:ext>
              </c:extLst>
            </c:dLbl>
            <c:dLbl>
              <c:idx val="8"/>
              <c:layout>
                <c:manualLayout>
                  <c:x val="-8.065028848885851E-2"/>
                  <c:y val="-0.168946850393700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693-48F8-9509-1CF70664E570}"/>
                </c:ext>
              </c:extLst>
            </c:dLbl>
            <c:dLbl>
              <c:idx val="9"/>
              <c:layout>
                <c:manualLayout>
                  <c:x val="2.464445963547161E-2"/>
                  <c:y val="-6.70949985418489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693-48F8-9509-1CF70664E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romanee_conti!$G$2:$G$12</c:f>
              <c:numCache>
                <c:formatCode>General</c:formatCode>
                <c:ptCount val="11"/>
                <c:pt idx="0">
                  <c:v>5</c:v>
                </c:pt>
                <c:pt idx="1">
                  <c:v>4.266666667</c:v>
                </c:pt>
                <c:pt idx="2">
                  <c:v>4.8187499999999996</c:v>
                </c:pt>
                <c:pt idx="3">
                  <c:v>4.88</c:v>
                </c:pt>
                <c:pt idx="4">
                  <c:v>4.4190476189999996</c:v>
                </c:pt>
                <c:pt idx="5">
                  <c:v>4.6159999999999997</c:v>
                </c:pt>
                <c:pt idx="6">
                  <c:v>4.9000000000000004</c:v>
                </c:pt>
                <c:pt idx="7">
                  <c:v>4.7534883719999996</c:v>
                </c:pt>
                <c:pt idx="8">
                  <c:v>4.6230769230000002</c:v>
                </c:pt>
                <c:pt idx="9">
                  <c:v>4.7039999999999997</c:v>
                </c:pt>
                <c:pt idx="1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693-48F8-9509-1CF70664E5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180496"/>
        <c:axId val="145179664"/>
      </c:scatterChart>
      <c:valAx>
        <c:axId val="14518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9664"/>
        <c:crosses val="autoZero"/>
        <c:crossBetween val="midCat"/>
      </c:valAx>
      <c:valAx>
        <c:axId val="14517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Entropy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romanee_conti!$H$1</c:f>
              <c:strCache>
                <c:ptCount val="1"/>
                <c:pt idx="0">
                  <c:v>Mean Entropy 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7613904031226865E-2"/>
                  <c:y val="-1.1539442986293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79-4EE3-B75D-253028D6BA11}"/>
                </c:ext>
              </c:extLst>
            </c:dLbl>
            <c:dLbl>
              <c:idx val="1"/>
              <c:layout>
                <c:manualLayout>
                  <c:x val="9.7572739305022769E-4"/>
                  <c:y val="-5.3206109652960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79-4EE3-B75D-253028D6BA11}"/>
                </c:ext>
              </c:extLst>
            </c:dLbl>
            <c:dLbl>
              <c:idx val="2"/>
              <c:layout>
                <c:manualLayout>
                  <c:x val="-2.0790654373331538E-2"/>
                  <c:y val="0.182905001458150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79-4EE3-B75D-253028D6BA11}"/>
                </c:ext>
              </c:extLst>
            </c:dLbl>
            <c:dLbl>
              <c:idx val="3"/>
              <c:layout>
                <c:manualLayout>
                  <c:x val="-2.0790654373331642E-2"/>
                  <c:y val="0.261608705161854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79-4EE3-B75D-253028D6BA11}"/>
                </c:ext>
              </c:extLst>
            </c:dLbl>
            <c:dLbl>
              <c:idx val="4"/>
              <c:layout>
                <c:manualLayout>
                  <c:x val="-9.3440227022904193E-2"/>
                  <c:y val="0.113460557013706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79-4EE3-B75D-253028D6BA11}"/>
                </c:ext>
              </c:extLst>
            </c:dLbl>
            <c:dLbl>
              <c:idx val="7"/>
              <c:layout>
                <c:manualLayout>
                  <c:x val="-2.5064158646835918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79-4EE3-B75D-253028D6BA11}"/>
                </c:ext>
              </c:extLst>
            </c:dLbl>
            <c:dLbl>
              <c:idx val="8"/>
              <c:layout>
                <c:manualLayout>
                  <c:x val="-7.7770711353388519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79-4EE3-B75D-253028D6B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romanee_conti!$H$2:$H$12</c:f>
              <c:numCache>
                <c:formatCode>General</c:formatCode>
                <c:ptCount val="11"/>
                <c:pt idx="0">
                  <c:v>1.301334</c:v>
                </c:pt>
                <c:pt idx="1">
                  <c:v>2.0750299999999999</c:v>
                </c:pt>
                <c:pt idx="2">
                  <c:v>1.8229649999999999</c:v>
                </c:pt>
                <c:pt idx="3">
                  <c:v>1.719832</c:v>
                </c:pt>
                <c:pt idx="4">
                  <c:v>1.075974</c:v>
                </c:pt>
                <c:pt idx="5">
                  <c:v>1.488327</c:v>
                </c:pt>
                <c:pt idx="6">
                  <c:v>1.3609800000000001</c:v>
                </c:pt>
                <c:pt idx="7">
                  <c:v>1.244656</c:v>
                </c:pt>
                <c:pt idx="8">
                  <c:v>1.337067</c:v>
                </c:pt>
                <c:pt idx="9">
                  <c:v>1.6263529999999999</c:v>
                </c:pt>
                <c:pt idx="10">
                  <c:v>1.395411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79-4EE3-B75D-253028D6BA11}"/>
            </c:ext>
          </c:extLst>
        </c:ser>
        <c:ser>
          <c:idx val="1"/>
          <c:order val="1"/>
          <c:tx>
            <c:strRef>
              <c:f>romanee_conti!$I$1</c:f>
              <c:strCache>
                <c:ptCount val="1"/>
                <c:pt idx="0">
                  <c:v>Mean Entropy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6132422549745382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E79-4EE3-B75D-253028D6BA11}"/>
                </c:ext>
              </c:extLst>
            </c:dLbl>
            <c:dLbl>
              <c:idx val="1"/>
              <c:layout>
                <c:manualLayout>
                  <c:x val="4.6160912578235201E-2"/>
                  <c:y val="-0.141169072615923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E79-4EE3-B75D-253028D6BA11}"/>
                </c:ext>
              </c:extLst>
            </c:dLbl>
            <c:dLbl>
              <c:idx val="2"/>
              <c:layout>
                <c:manualLayout>
                  <c:x val="-6.5456401283172936E-3"/>
                  <c:y val="-0.145798702245552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E79-4EE3-B75D-253028D6BA11}"/>
                </c:ext>
              </c:extLst>
            </c:dLbl>
            <c:dLbl>
              <c:idx val="3"/>
              <c:layout>
                <c:manualLayout>
                  <c:x val="3.4258698431926778E-3"/>
                  <c:y val="-0.224502405949256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E79-4EE3-B75D-253028D6BA11}"/>
                </c:ext>
              </c:extLst>
            </c:dLbl>
            <c:dLbl>
              <c:idx val="4"/>
              <c:layout>
                <c:manualLayout>
                  <c:x val="-4.9280682863360029E-2"/>
                  <c:y val="-0.168946850393700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E79-4EE3-B75D-253028D6BA11}"/>
                </c:ext>
              </c:extLst>
            </c:dLbl>
            <c:dLbl>
              <c:idx val="5"/>
              <c:layout>
                <c:manualLayout>
                  <c:x val="-5.9252192834870002E-2"/>
                  <c:y val="-0.150428331875182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E79-4EE3-B75D-253028D6BA11}"/>
                </c:ext>
              </c:extLst>
            </c:dLbl>
            <c:dLbl>
              <c:idx val="6"/>
              <c:layout>
                <c:manualLayout>
                  <c:x val="-1.9366152948830113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E79-4EE3-B75D-253028D6BA11}"/>
                </c:ext>
              </c:extLst>
            </c:dLbl>
            <c:dLbl>
              <c:idx val="7"/>
              <c:layout>
                <c:manualLayout>
                  <c:x val="-4.3582677165354432E-2"/>
                  <c:y val="-0.182835739282589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E79-4EE3-B75D-253028D6BA11}"/>
                </c:ext>
              </c:extLst>
            </c:dLbl>
            <c:dLbl>
              <c:idx val="8"/>
              <c:layout>
                <c:manualLayout>
                  <c:x val="-0.11338324696592413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E79-4EE3-B75D-253028D6BA11}"/>
                </c:ext>
              </c:extLst>
            </c:dLbl>
            <c:dLbl>
              <c:idx val="10"/>
              <c:layout>
                <c:manualLayout>
                  <c:x val="-6.3525697108374288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E79-4EE3-B75D-253028D6B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romanee_conti!$I$2:$I$12</c:f>
              <c:numCache>
                <c:formatCode>General</c:formatCode>
                <c:ptCount val="11"/>
                <c:pt idx="0">
                  <c:v>2.4860150000000001</c:v>
                </c:pt>
                <c:pt idx="1">
                  <c:v>2.452807</c:v>
                </c:pt>
                <c:pt idx="2">
                  <c:v>2.441068</c:v>
                </c:pt>
                <c:pt idx="3">
                  <c:v>2.4146459999999998</c:v>
                </c:pt>
                <c:pt idx="4">
                  <c:v>2.2533110000000001</c:v>
                </c:pt>
                <c:pt idx="5">
                  <c:v>2.3815710000000001</c:v>
                </c:pt>
                <c:pt idx="6">
                  <c:v>2.3909370000000001</c:v>
                </c:pt>
                <c:pt idx="7">
                  <c:v>2.3090769999999998</c:v>
                </c:pt>
                <c:pt idx="8">
                  <c:v>2.2927219999999999</c:v>
                </c:pt>
                <c:pt idx="9">
                  <c:v>2.3812579999999999</c:v>
                </c:pt>
                <c:pt idx="10">
                  <c:v>2.3557939999999999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79-4EE3-B75D-253028D6BA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23922928"/>
        <c:axId val="723923760"/>
      </c:scatterChart>
      <c:valAx>
        <c:axId val="72392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23760"/>
        <c:crosses val="autoZero"/>
        <c:crossBetween val="midCat"/>
      </c:valAx>
      <c:valAx>
        <c:axId val="7239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2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romanee_conti!$J$1</c:f>
              <c:strCache>
                <c:ptCount val="1"/>
                <c:pt idx="0">
                  <c:v>Number of Reviews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4.1225071225071228E-2"/>
                  <c:y val="-5.7835739282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8B-4778-B04D-8EBF34339716}"/>
                </c:ext>
              </c:extLst>
            </c:dLbl>
            <c:dLbl>
              <c:idx val="3"/>
              <c:layout>
                <c:manualLayout>
                  <c:x val="-1.5099715099717189E-3"/>
                  <c:y val="-9.0243146689997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8B-4778-B04D-8EBF34339716}"/>
                </c:ext>
              </c:extLst>
            </c:dLbl>
            <c:dLbl>
              <c:idx val="4"/>
              <c:layout>
                <c:manualLayout>
                  <c:x val="-1.8603988603988604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8B-4778-B04D-8EBF34339716}"/>
                </c:ext>
              </c:extLst>
            </c:dLbl>
            <c:dLbl>
              <c:idx val="6"/>
              <c:layout>
                <c:manualLayout>
                  <c:x val="7.037037037037037E-3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8B-4778-B04D-8EBF34339716}"/>
                </c:ext>
              </c:extLst>
            </c:dLbl>
            <c:dLbl>
              <c:idx val="8"/>
              <c:layout>
                <c:manualLayout>
                  <c:x val="-8.1282051282051279E-2"/>
                  <c:y val="-0.168946850393700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8B-4778-B04D-8EBF34339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romanee_conti!$A$2:$A$12</c:f>
              <c:numCache>
                <c:formatCode>General</c:formatCode>
                <c:ptCount val="1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2015</c:v>
                </c:pt>
                <c:pt idx="6">
                  <c:v>2008</c:v>
                </c:pt>
                <c:pt idx="7">
                  <c:v>2004</c:v>
                </c:pt>
                <c:pt idx="8">
                  <c:v>2003</c:v>
                </c:pt>
                <c:pt idx="9">
                  <c:v>1972</c:v>
                </c:pt>
                <c:pt idx="10">
                  <c:v>1969</c:v>
                </c:pt>
              </c:numCache>
            </c:numRef>
          </c:xVal>
          <c:yVal>
            <c:numRef>
              <c:f>romanee_conti!$J$2:$J$12</c:f>
              <c:numCache>
                <c:formatCode>General</c:formatCode>
                <c:ptCount val="11"/>
                <c:pt idx="0">
                  <c:v>3</c:v>
                </c:pt>
                <c:pt idx="1">
                  <c:v>6</c:v>
                </c:pt>
                <c:pt idx="2">
                  <c:v>16</c:v>
                </c:pt>
                <c:pt idx="3">
                  <c:v>20</c:v>
                </c:pt>
                <c:pt idx="4">
                  <c:v>21</c:v>
                </c:pt>
                <c:pt idx="5">
                  <c:v>50</c:v>
                </c:pt>
                <c:pt idx="6">
                  <c:v>33</c:v>
                </c:pt>
                <c:pt idx="7">
                  <c:v>86</c:v>
                </c:pt>
                <c:pt idx="8">
                  <c:v>39</c:v>
                </c:pt>
                <c:pt idx="9">
                  <c:v>25</c:v>
                </c:pt>
                <c:pt idx="10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8B-4778-B04D-8EBF343397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23909200"/>
        <c:axId val="723919184"/>
      </c:scatterChart>
      <c:valAx>
        <c:axId val="72390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19184"/>
        <c:crosses val="autoZero"/>
        <c:crossBetween val="midCat"/>
      </c:valAx>
      <c:valAx>
        <c:axId val="7239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0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'montelena estate'!$B$1</c:f>
              <c:strCache>
                <c:ptCount val="1"/>
                <c:pt idx="0">
                  <c:v>Market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319361848411583E-3"/>
                  <c:y val="5.1985050183327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84-4760-9D6A-CBE8DE756C13}"/>
                </c:ext>
              </c:extLst>
            </c:dLbl>
            <c:dLbl>
              <c:idx val="1"/>
              <c:layout>
                <c:manualLayout>
                  <c:x val="-3.8687563672131805E-3"/>
                  <c:y val="-0.254755768238885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84-4760-9D6A-CBE8DE756C13}"/>
                </c:ext>
              </c:extLst>
            </c:dLbl>
            <c:dLbl>
              <c:idx val="2"/>
              <c:layout>
                <c:manualLayout>
                  <c:x val="-2.8088004295830134E-2"/>
                  <c:y val="-0.116227656693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84-4760-9D6A-CBE8DE756C13}"/>
                </c:ext>
              </c:extLst>
            </c:dLbl>
            <c:dLbl>
              <c:idx val="5"/>
              <c:layout>
                <c:manualLayout>
                  <c:x val="-6.4181508860149655E-3"/>
                  <c:y val="5.6932482738524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84-4760-9D6A-CBE8DE756C13}"/>
                </c:ext>
              </c:extLst>
            </c:dLbl>
            <c:dLbl>
              <c:idx val="6"/>
              <c:layout>
                <c:manualLayout>
                  <c:x val="-1.1905672402804334E-2"/>
                  <c:y val="-0.254755768238885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84-4760-9D6A-CBE8DE756C13}"/>
                </c:ext>
              </c:extLst>
            </c:dLbl>
            <c:dLbl>
              <c:idx val="7"/>
              <c:layout>
                <c:manualLayout>
                  <c:x val="2.5047299297911874E-3"/>
                  <c:y val="2.51072463135784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84-4760-9D6A-CBE8DE756C13}"/>
                </c:ext>
              </c:extLst>
            </c:dLbl>
            <c:dLbl>
              <c:idx val="8"/>
              <c:layout>
                <c:manualLayout>
                  <c:x val="-4.0834976889839149E-2"/>
                  <c:y val="-0.150859684579748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84-4760-9D6A-CBE8DE756C13}"/>
                </c:ext>
              </c:extLst>
            </c:dLbl>
            <c:dLbl>
              <c:idx val="10"/>
              <c:layout>
                <c:manualLayout>
                  <c:x val="8.4130019120458896E-4"/>
                  <c:y val="8.1669645514509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84-4760-9D6A-CBE8DE756C13}"/>
                </c:ext>
              </c:extLst>
            </c:dLbl>
            <c:dLbl>
              <c:idx val="11"/>
              <c:layout>
                <c:manualLayout>
                  <c:x val="-1.9553855959209689E-2"/>
                  <c:y val="-0.116227656693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84-4760-9D6A-CBE8DE756C13}"/>
                </c:ext>
              </c:extLst>
            </c:dLbl>
            <c:dLbl>
              <c:idx val="12"/>
              <c:layout>
                <c:manualLayout>
                  <c:x val="7.6035189673948501E-3"/>
                  <c:y val="-1.72790055894301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84-4760-9D6A-CBE8DE756C13}"/>
                </c:ext>
              </c:extLst>
            </c:dLbl>
            <c:dLbl>
              <c:idx val="13"/>
              <c:layout>
                <c:manualLayout>
                  <c:x val="-1.789042622062309E-2"/>
                  <c:y val="0.15588113384246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84-4760-9D6A-CBE8DE756C13}"/>
                </c:ext>
              </c:extLst>
            </c:dLbl>
            <c:dLbl>
              <c:idx val="14"/>
              <c:layout>
                <c:manualLayout>
                  <c:x val="-4.5933765927442721E-2"/>
                  <c:y val="7.177478040411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84-4760-9D6A-CBE8DE756C13}"/>
                </c:ext>
              </c:extLst>
            </c:dLbl>
            <c:dLbl>
              <c:idx val="15"/>
              <c:layout>
                <c:manualLayout>
                  <c:x val="-2.6813307036429243E-2"/>
                  <c:y val="-0.155807117134945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84-4760-9D6A-CBE8DE756C13}"/>
                </c:ext>
              </c:extLst>
            </c:dLbl>
            <c:dLbl>
              <c:idx val="16"/>
              <c:layout>
                <c:manualLayout>
                  <c:x val="-3.4850223072020486E-2"/>
                  <c:y val="6.1879915293721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84-4760-9D6A-CBE8DE756C13}"/>
                </c:ext>
              </c:extLst>
            </c:dLbl>
            <c:dLbl>
              <c:idx val="17"/>
              <c:layout>
                <c:manualLayout>
                  <c:x val="2.2899886080205465E-2"/>
                  <c:y val="-0.106332791582975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384-4760-9D6A-CBE8DE756C13}"/>
                </c:ext>
              </c:extLst>
            </c:dLbl>
            <c:dLbl>
              <c:idx val="20"/>
              <c:layout>
                <c:manualLayout>
                  <c:x val="-1.5341031701821212E-2"/>
                  <c:y val="7.672221295931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84-4760-9D6A-CBE8DE756C13}"/>
                </c:ext>
              </c:extLst>
            </c:dLbl>
            <c:dLbl>
              <c:idx val="21"/>
              <c:layout>
                <c:manualLayout>
                  <c:x val="-2.9362701555231026E-2"/>
                  <c:y val="0.16082856639766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384-4760-9D6A-CBE8DE756C13}"/>
                </c:ext>
              </c:extLst>
            </c:dLbl>
            <c:dLbl>
              <c:idx val="22"/>
              <c:layout>
                <c:manualLayout>
                  <c:x val="-3.3186793333433724E-2"/>
                  <c:y val="-0.210228875242112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384-4760-9D6A-CBE8DE756C13}"/>
                </c:ext>
              </c:extLst>
            </c:dLbl>
            <c:dLbl>
              <c:idx val="24"/>
              <c:layout>
                <c:manualLayout>
                  <c:x val="-4.7208463186843533E-2"/>
                  <c:y val="8.1669645514509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384-4760-9D6A-CBE8DE756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estate'!$B$2:$B$27</c:f>
              <c:numCache>
                <c:formatCode>General</c:formatCode>
                <c:ptCount val="26"/>
                <c:pt idx="0">
                  <c:v>109.95</c:v>
                </c:pt>
                <c:pt idx="1">
                  <c:v>201.95</c:v>
                </c:pt>
                <c:pt idx="2">
                  <c:v>220.49</c:v>
                </c:pt>
                <c:pt idx="3">
                  <c:v>175</c:v>
                </c:pt>
                <c:pt idx="4">
                  <c:v>383</c:v>
                </c:pt>
                <c:pt idx="5">
                  <c:v>153.15</c:v>
                </c:pt>
                <c:pt idx="6">
                  <c:v>383</c:v>
                </c:pt>
                <c:pt idx="7">
                  <c:v>194.24</c:v>
                </c:pt>
                <c:pt idx="8">
                  <c:v>249.99</c:v>
                </c:pt>
                <c:pt idx="9">
                  <c:v>194</c:v>
                </c:pt>
                <c:pt idx="10">
                  <c:v>205</c:v>
                </c:pt>
                <c:pt idx="11">
                  <c:v>194</c:v>
                </c:pt>
                <c:pt idx="12">
                  <c:v>118.98</c:v>
                </c:pt>
                <c:pt idx="13">
                  <c:v>220.49</c:v>
                </c:pt>
                <c:pt idx="14">
                  <c:v>147.72999999999999</c:v>
                </c:pt>
                <c:pt idx="15">
                  <c:v>183.74</c:v>
                </c:pt>
                <c:pt idx="16">
                  <c:v>422</c:v>
                </c:pt>
                <c:pt idx="17">
                  <c:v>435.95</c:v>
                </c:pt>
                <c:pt idx="18">
                  <c:v>173.51</c:v>
                </c:pt>
                <c:pt idx="19">
                  <c:v>256.79000000000002</c:v>
                </c:pt>
                <c:pt idx="20">
                  <c:v>441.21</c:v>
                </c:pt>
                <c:pt idx="21">
                  <c:v>439.95</c:v>
                </c:pt>
                <c:pt idx="22">
                  <c:v>475.91</c:v>
                </c:pt>
                <c:pt idx="23">
                  <c:v>733.69</c:v>
                </c:pt>
                <c:pt idx="24">
                  <c:v>499.95</c:v>
                </c:pt>
                <c:pt idx="25">
                  <c:v>638.51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384-4760-9D6A-CBE8DE756C13}"/>
            </c:ext>
          </c:extLst>
        </c:ser>
        <c:ser>
          <c:idx val="1"/>
          <c:order val="1"/>
          <c:tx>
            <c:strRef>
              <c:f>'montelena estate'!$C$1</c:f>
              <c:strCache>
                <c:ptCount val="1"/>
                <c:pt idx="0">
                  <c:v>Listed Price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2345392772365982E-2"/>
                  <c:y val="-0.111280224138172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384-4760-9D6A-CBE8DE756C13}"/>
                </c:ext>
              </c:extLst>
            </c:dLbl>
            <c:dLbl>
              <c:idx val="1"/>
              <c:layout>
                <c:manualLayout>
                  <c:x val="3.5289943441582046E-2"/>
                  <c:y val="-0.185491712466127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84-4760-9D6A-CBE8DE756C13}"/>
                </c:ext>
              </c:extLst>
            </c:dLbl>
            <c:dLbl>
              <c:idx val="3"/>
              <c:layout>
                <c:manualLayout>
                  <c:x val="-5.8151688973868798E-2"/>
                  <c:y val="-1.23315730342331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384-4760-9D6A-CBE8DE756C13}"/>
                </c:ext>
              </c:extLst>
            </c:dLbl>
            <c:dLbl>
              <c:idx val="4"/>
              <c:layout>
                <c:manualLayout>
                  <c:x val="3.1077119184193754E-2"/>
                  <c:y val="-0.116227656693369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384-4760-9D6A-CBE8DE756C13}"/>
                </c:ext>
              </c:extLst>
            </c:dLbl>
            <c:dLbl>
              <c:idx val="5"/>
              <c:layout>
                <c:manualLayout>
                  <c:x val="4.3084767367749226E-3"/>
                  <c:y val="-0.220123740352506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384-4760-9D6A-CBE8DE756C13}"/>
                </c:ext>
              </c:extLst>
            </c:dLbl>
            <c:dLbl>
              <c:idx val="6"/>
              <c:layout>
                <c:manualLayout>
                  <c:x val="1.8330146590184924E-2"/>
                  <c:y val="-0.121175089248566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384-4760-9D6A-CBE8DE756C13}"/>
                </c:ext>
              </c:extLst>
            </c:dLbl>
            <c:dLbl>
              <c:idx val="7"/>
              <c:layout>
                <c:manualLayout>
                  <c:x val="1.3620090031767061E-2"/>
                  <c:y val="6.68273478489186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384-4760-9D6A-CBE8DE756C13}"/>
                </c:ext>
              </c:extLst>
            </c:dLbl>
            <c:dLbl>
              <c:idx val="8"/>
              <c:layout>
                <c:manualLayout>
                  <c:x val="-2.2071433231457924E-2"/>
                  <c:y val="-0.24486090312849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384-4760-9D6A-CBE8DE756C13}"/>
                </c:ext>
              </c:extLst>
            </c:dLbl>
            <c:dLbl>
              <c:idx val="9"/>
              <c:layout>
                <c:manualLayout>
                  <c:x val="-2.065009560229539E-3"/>
                  <c:y val="0.12124910595608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384-4760-9D6A-CBE8DE756C13}"/>
                </c:ext>
              </c:extLst>
            </c:dLbl>
            <c:dLbl>
              <c:idx val="10"/>
              <c:layout>
                <c:manualLayout>
                  <c:x val="-8.4384958572339061E-3"/>
                  <c:y val="-0.106332791582975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384-4760-9D6A-CBE8DE756C13}"/>
                </c:ext>
              </c:extLst>
            </c:dLbl>
            <c:dLbl>
              <c:idx val="11"/>
              <c:layout>
                <c:manualLayout>
                  <c:x val="1.0681963033779385E-2"/>
                  <c:y val="-0.136017386914157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384-4760-9D6A-CBE8DE756C13}"/>
                </c:ext>
              </c:extLst>
            </c:dLbl>
            <c:dLbl>
              <c:idx val="12"/>
              <c:layout>
                <c:manualLayout>
                  <c:x val="6.8578712555768008E-3"/>
                  <c:y val="-0.215176307797309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384-4760-9D6A-CBE8DE756C13}"/>
                </c:ext>
              </c:extLst>
            </c:dLbl>
            <c:dLbl>
              <c:idx val="13"/>
              <c:layout>
                <c:manualLayout>
                  <c:x val="-4.2256715998454306E-3"/>
                  <c:y val="-0.299282661235658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384-4760-9D6A-CBE8DE756C13}"/>
                </c:ext>
              </c:extLst>
            </c:dLbl>
            <c:dLbl>
              <c:idx val="14"/>
              <c:layout>
                <c:manualLayout>
                  <c:x val="-1.4423249675052568E-2"/>
                  <c:y val="-0.160754549690142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384-4760-9D6A-CBE8DE756C13}"/>
                </c:ext>
              </c:extLst>
            </c:dLbl>
            <c:dLbl>
              <c:idx val="15"/>
              <c:layout>
                <c:manualLayout>
                  <c:x val="-7.5608718126295452E-2"/>
                  <c:y val="-2.43670792383914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384-4760-9D6A-CBE8DE756C13}"/>
                </c:ext>
              </c:extLst>
            </c:dLbl>
            <c:dLbl>
              <c:idx val="16"/>
              <c:layout>
                <c:manualLayout>
                  <c:x val="2.7641759885176878E-2"/>
                  <c:y val="-0.150859684579748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384-4760-9D6A-CBE8DE756C13}"/>
                </c:ext>
              </c:extLst>
            </c:dLbl>
            <c:dLbl>
              <c:idx val="17"/>
              <c:layout>
                <c:manualLayout>
                  <c:x val="1.6169484550568894E-2"/>
                  <c:y val="-0.234966038018097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384-4760-9D6A-CBE8DE756C13}"/>
                </c:ext>
              </c:extLst>
            </c:dLbl>
            <c:dLbl>
              <c:idx val="18"/>
              <c:layout>
                <c:manualLayout>
                  <c:x val="-1.824734145325534E-2"/>
                  <c:y val="-0.205281442686915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384-4760-9D6A-CBE8DE756C13}"/>
                </c:ext>
              </c:extLst>
            </c:dLbl>
            <c:dLbl>
              <c:idx val="19"/>
              <c:layout>
                <c:manualLayout>
                  <c:x val="-4.2466589381872248E-2"/>
                  <c:y val="-0.274545498459673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384-4760-9D6A-CBE8DE756C13}"/>
                </c:ext>
              </c:extLst>
            </c:dLbl>
            <c:dLbl>
              <c:idx val="20"/>
              <c:layout>
                <c:manualLayout>
                  <c:x val="-4.0157982164275356E-4"/>
                  <c:y val="-0.185491712466127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384-4760-9D6A-CBE8DE756C13}"/>
                </c:ext>
              </c:extLst>
            </c:dLbl>
            <c:dLbl>
              <c:idx val="21"/>
              <c:layout>
                <c:manualLayout>
                  <c:x val="-4.6290681160074877E-2"/>
                  <c:y val="-0.150859684579748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384-4760-9D6A-CBE8DE756C13}"/>
                </c:ext>
              </c:extLst>
            </c:dLbl>
            <c:dLbl>
              <c:idx val="22"/>
              <c:layout>
                <c:manualLayout>
                  <c:x val="-2.3346130490858815E-2"/>
                  <c:y val="0.195460594284040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384-4760-9D6A-CBE8DE756C13}"/>
                </c:ext>
              </c:extLst>
            </c:dLbl>
            <c:dLbl>
              <c:idx val="23"/>
              <c:layout>
                <c:manualLayout>
                  <c:x val="8.7311743775813873E-4"/>
                  <c:y val="0.101459375735297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384-4760-9D6A-CBE8DE756C13}"/>
                </c:ext>
              </c:extLst>
            </c:dLbl>
            <c:dLbl>
              <c:idx val="24"/>
              <c:layout>
                <c:manualLayout>
                  <c:x val="-2.2071433231457934E-2"/>
                  <c:y val="0.180618296618449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384-4760-9D6A-CBE8DE756C13}"/>
                </c:ext>
              </c:extLst>
            </c:dLbl>
            <c:dLbl>
              <c:idx val="25"/>
              <c:layout>
                <c:manualLayout>
                  <c:x val="-6.413644279168737E-2"/>
                  <c:y val="-4.20161683654150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384-4760-9D6A-CBE8DE756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estate'!$C$2:$C$27</c:f>
              <c:numCache>
                <c:formatCode>"$"#,##0.00_);[Red]\("$"#,##0.00\)</c:formatCode>
                <c:ptCount val="26"/>
                <c:pt idx="0">
                  <c:v>109.95</c:v>
                </c:pt>
                <c:pt idx="1">
                  <c:v>201.95</c:v>
                </c:pt>
                <c:pt idx="2" formatCode="General">
                  <c:v>0</c:v>
                </c:pt>
                <c:pt idx="3" formatCode="&quot;$&quot;#,##0_);[Red]\(&quot;$&quot;#,##0\)">
                  <c:v>175</c:v>
                </c:pt>
                <c:pt idx="4" formatCode="&quot;$&quot;#,##0_);[Red]\(&quot;$&quot;#,##0\)">
                  <c:v>383</c:v>
                </c:pt>
                <c:pt idx="5" formatCode="&quot;$&quot;#,##0_);[Red]\(&quot;$&quot;#,##0\)">
                  <c:v>383</c:v>
                </c:pt>
                <c:pt idx="6" formatCode="&quot;$&quot;#,##0_);[Red]\(&quot;$&quot;#,##0\)">
                  <c:v>383</c:v>
                </c:pt>
                <c:pt idx="7">
                  <c:v>194.24</c:v>
                </c:pt>
                <c:pt idx="8">
                  <c:v>249.99</c:v>
                </c:pt>
                <c:pt idx="9" formatCode="&quot;$&quot;#,##0_);[Red]\(&quot;$&quot;#,##0\)">
                  <c:v>194</c:v>
                </c:pt>
                <c:pt idx="10" formatCode="&quot;$&quot;#,##0_);[Red]\(&quot;$&quot;#,##0\)">
                  <c:v>205</c:v>
                </c:pt>
                <c:pt idx="11" formatCode="&quot;$&quot;#,##0_);[Red]\(&quot;$&quot;#,##0\)">
                  <c:v>194</c:v>
                </c:pt>
                <c:pt idx="12" formatCode="&quot;$&quot;#,##0_);[Red]\(&quot;$&quot;#,##0\)">
                  <c:v>194</c:v>
                </c:pt>
                <c:pt idx="13">
                  <c:v>220.49</c:v>
                </c:pt>
                <c:pt idx="14">
                  <c:v>220.49</c:v>
                </c:pt>
                <c:pt idx="15">
                  <c:v>183.74</c:v>
                </c:pt>
                <c:pt idx="16">
                  <c:v>422</c:v>
                </c:pt>
                <c:pt idx="17">
                  <c:v>435.95</c:v>
                </c:pt>
                <c:pt idx="18">
                  <c:v>435.95</c:v>
                </c:pt>
                <c:pt idx="19">
                  <c:v>435.95</c:v>
                </c:pt>
                <c:pt idx="20">
                  <c:v>439.95</c:v>
                </c:pt>
                <c:pt idx="21">
                  <c:v>439.95</c:v>
                </c:pt>
                <c:pt idx="22">
                  <c:v>439.95</c:v>
                </c:pt>
                <c:pt idx="23">
                  <c:v>499.95</c:v>
                </c:pt>
                <c:pt idx="24">
                  <c:v>499.95</c:v>
                </c:pt>
                <c:pt idx="25">
                  <c:v>499.95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0384-4760-9D6A-CBE8DE756C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9379343"/>
        <c:axId val="379379759"/>
      </c:scatterChart>
      <c:valAx>
        <c:axId val="37937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79759"/>
        <c:crosses val="autoZero"/>
        <c:crossBetween val="midCat"/>
      </c:valAx>
      <c:valAx>
        <c:axId val="3793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7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Reported</a:t>
            </a:r>
            <a:r>
              <a:rPr lang="en-US" baseline="0"/>
              <a:t> Average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'montelena estate'!$F$1</c:f>
              <c:strCache>
                <c:ptCount val="1"/>
                <c:pt idx="0">
                  <c:v>Reported Average 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estate'!$F$2:$F$27</c:f>
              <c:numCache>
                <c:formatCode>General</c:formatCode>
                <c:ptCount val="26"/>
                <c:pt idx="0">
                  <c:v>4.5</c:v>
                </c:pt>
                <c:pt idx="1">
                  <c:v>4.4000000000000004</c:v>
                </c:pt>
                <c:pt idx="2">
                  <c:v>4.4000000000000004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4.3</c:v>
                </c:pt>
                <c:pt idx="7">
                  <c:v>4.5</c:v>
                </c:pt>
                <c:pt idx="8">
                  <c:v>4.4000000000000004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4.4000000000000004</c:v>
                </c:pt>
                <c:pt idx="15">
                  <c:v>4.4000000000000004</c:v>
                </c:pt>
                <c:pt idx="16">
                  <c:v>4.5</c:v>
                </c:pt>
                <c:pt idx="17">
                  <c:v>4.2</c:v>
                </c:pt>
                <c:pt idx="18">
                  <c:v>4.5999999999999996</c:v>
                </c:pt>
                <c:pt idx="19">
                  <c:v>4.5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4.5</c:v>
                </c:pt>
                <c:pt idx="23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1-47F8-B227-9CB18787AF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7111039"/>
        <c:axId val="377124351"/>
      </c:scatterChart>
      <c:valAx>
        <c:axId val="3771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24351"/>
        <c:crosses val="autoZero"/>
        <c:crossBetween val="midCat"/>
      </c:valAx>
      <c:valAx>
        <c:axId val="37712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1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Average Rating</a:t>
            </a:r>
          </a:p>
        </c:rich>
      </c:tx>
      <c:layout>
        <c:manualLayout>
          <c:xMode val="edge"/>
          <c:yMode val="edge"/>
          <c:x val="0.3661786649953293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'montelena estate'!$G$1</c:f>
              <c:strCache>
                <c:ptCount val="1"/>
                <c:pt idx="0">
                  <c:v>Calculated Average 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0789849962784503E-2"/>
                  <c:y val="-0.150428331875182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16-497E-804B-08A960EBC9E8}"/>
                </c:ext>
              </c:extLst>
            </c:dLbl>
            <c:dLbl>
              <c:idx val="2"/>
              <c:layout>
                <c:manualLayout>
                  <c:x val="2.682209033572296E-2"/>
                  <c:y val="7.6423519976669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16-497E-804B-08A960EBC9E8}"/>
                </c:ext>
              </c:extLst>
            </c:dLbl>
            <c:dLbl>
              <c:idx val="3"/>
              <c:layout>
                <c:manualLayout>
                  <c:x val="-3.7854526579699926E-2"/>
                  <c:y val="0.164386482939632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16-497E-804B-08A960EBC9E8}"/>
                </c:ext>
              </c:extLst>
            </c:dLbl>
            <c:dLbl>
              <c:idx val="4"/>
              <c:layout>
                <c:manualLayout>
                  <c:x val="-4.0342088768754746E-2"/>
                  <c:y val="-7.172462817147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16-497E-804B-08A960EBC9E8}"/>
                </c:ext>
              </c:extLst>
            </c:dLbl>
            <c:dLbl>
              <c:idx val="5"/>
              <c:layout>
                <c:manualLayout>
                  <c:x val="-4.4073432052336742E-2"/>
                  <c:y val="0.243090186643336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16-497E-804B-08A960EBC9E8}"/>
                </c:ext>
              </c:extLst>
            </c:dLbl>
            <c:dLbl>
              <c:idx val="6"/>
              <c:layout>
                <c:manualLayout>
                  <c:x val="-3.7854526579699926E-2"/>
                  <c:y val="-0.187465368912219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16-497E-804B-08A960EBC9E8}"/>
                </c:ext>
              </c:extLst>
            </c:dLbl>
            <c:dLbl>
              <c:idx val="7"/>
              <c:layout>
                <c:manualLayout>
                  <c:x val="-4.0342088768754558E-2"/>
                  <c:y val="0.164386482939632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16-497E-804B-08A960EBC9E8}"/>
                </c:ext>
              </c:extLst>
            </c:dLbl>
            <c:dLbl>
              <c:idx val="8"/>
              <c:layout>
                <c:manualLayout>
                  <c:x val="-4.0342088768754746E-2"/>
                  <c:y val="-0.127280183727034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16-497E-804B-08A960EBC9E8}"/>
                </c:ext>
              </c:extLst>
            </c:dLbl>
            <c:dLbl>
              <c:idx val="9"/>
              <c:layout>
                <c:manualLayout>
                  <c:x val="-4.9048556430446193E-2"/>
                  <c:y val="0.127349445902595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16-497E-804B-08A960EBC9E8}"/>
                </c:ext>
              </c:extLst>
            </c:dLbl>
            <c:dLbl>
              <c:idx val="10"/>
              <c:layout>
                <c:manualLayout>
                  <c:x val="-4.4073432052336832E-2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16-497E-804B-08A960EBC9E8}"/>
                </c:ext>
              </c:extLst>
            </c:dLbl>
            <c:dLbl>
              <c:idx val="11"/>
              <c:layout>
                <c:manualLayout>
                  <c:x val="-3.770527284835664E-2"/>
                  <c:y val="-0.113391294838145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16-497E-804B-08A960EBC9E8}"/>
                </c:ext>
              </c:extLst>
            </c:dLbl>
            <c:dLbl>
              <c:idx val="12"/>
              <c:layout>
                <c:manualLayout>
                  <c:x val="-9.1337113644376536E-2"/>
                  <c:y val="-8.0983887430737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16-497E-804B-08A960EBC9E8}"/>
                </c:ext>
              </c:extLst>
            </c:dLbl>
            <c:dLbl>
              <c:idx val="13"/>
              <c:layout>
                <c:manualLayout>
                  <c:x val="-2.1685372350844206E-2"/>
                  <c:y val="8.105314960629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16-497E-804B-08A960EBC9E8}"/>
                </c:ext>
              </c:extLst>
            </c:dLbl>
            <c:dLbl>
              <c:idx val="14"/>
              <c:layout>
                <c:manualLayout>
                  <c:x val="-4.0342088768754655E-2"/>
                  <c:y val="0.14123833479148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16-497E-804B-08A960EBC9E8}"/>
                </c:ext>
              </c:extLst>
            </c:dLbl>
            <c:dLbl>
              <c:idx val="15"/>
              <c:layout>
                <c:manualLayout>
                  <c:x val="-7.8899302699102905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16-497E-804B-08A960EBC9E8}"/>
                </c:ext>
              </c:extLst>
            </c:dLbl>
            <c:dLbl>
              <c:idx val="16"/>
              <c:layout>
                <c:manualLayout>
                  <c:x val="-4.0342088768754655E-2"/>
                  <c:y val="0.145867964421113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16-497E-804B-08A960EBC9E8}"/>
                </c:ext>
              </c:extLst>
            </c:dLbl>
            <c:dLbl>
              <c:idx val="17"/>
              <c:layout>
                <c:manualLayout>
                  <c:x val="-6.273014847024723E-2"/>
                  <c:y val="0.164386482939632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716-497E-804B-08A960EBC9E8}"/>
                </c:ext>
              </c:extLst>
            </c:dLbl>
            <c:dLbl>
              <c:idx val="19"/>
              <c:layout>
                <c:manualLayout>
                  <c:x val="-7.765552160457558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716-497E-804B-08A960EBC9E8}"/>
                </c:ext>
              </c:extLst>
            </c:dLbl>
            <c:dLbl>
              <c:idx val="21"/>
              <c:layout>
                <c:manualLayout>
                  <c:x val="-3.2879402201590475E-2"/>
                  <c:y val="8.5682779235928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716-497E-804B-08A960EBC9E8}"/>
                </c:ext>
              </c:extLst>
            </c:dLbl>
            <c:dLbl>
              <c:idx val="24"/>
              <c:layout>
                <c:manualLayout>
                  <c:x val="-8.7605770360794449E-2"/>
                  <c:y val="-0.155057961504811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16-497E-804B-08A960EBC9E8}"/>
                </c:ext>
              </c:extLst>
            </c:dLbl>
            <c:dLbl>
              <c:idx val="25"/>
              <c:layout>
                <c:manualLayout>
                  <c:x val="-5.1536118619500922E-2"/>
                  <c:y val="7.6423519976669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716-497E-804B-08A960EBC9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estate'!$G$2:$G$27</c:f>
              <c:numCache>
                <c:formatCode>General</c:formatCode>
                <c:ptCount val="26"/>
                <c:pt idx="0">
                  <c:v>4.6124999999999998</c:v>
                </c:pt>
                <c:pt idx="1">
                  <c:v>4.28399999999999</c:v>
                </c:pt>
                <c:pt idx="2">
                  <c:v>4.3714285714285701</c:v>
                </c:pt>
                <c:pt idx="3">
                  <c:v>4.4895161290322498</c:v>
                </c:pt>
                <c:pt idx="4">
                  <c:v>4.4378378378378303</c:v>
                </c:pt>
                <c:pt idx="5">
                  <c:v>4.4736040609136998</c:v>
                </c:pt>
                <c:pt idx="6">
                  <c:v>4.2788235294117598</c:v>
                </c:pt>
                <c:pt idx="7">
                  <c:v>4.4950207468879597</c:v>
                </c:pt>
                <c:pt idx="8">
                  <c:v>4.3805825242718397</c:v>
                </c:pt>
                <c:pt idx="9">
                  <c:v>4.5235294117646996</c:v>
                </c:pt>
                <c:pt idx="10">
                  <c:v>4.5257485029940101</c:v>
                </c:pt>
                <c:pt idx="11">
                  <c:v>4.5112499999999898</c:v>
                </c:pt>
                <c:pt idx="12">
                  <c:v>4.5078947368420996</c:v>
                </c:pt>
                <c:pt idx="13">
                  <c:v>4.4452380952380901</c:v>
                </c:pt>
                <c:pt idx="14">
                  <c:v>4.3961038961038899</c:v>
                </c:pt>
                <c:pt idx="15">
                  <c:v>4.3745098039215602</c:v>
                </c:pt>
                <c:pt idx="16">
                  <c:v>4.4945205479452</c:v>
                </c:pt>
                <c:pt idx="17">
                  <c:v>4.0269230769230697</c:v>
                </c:pt>
                <c:pt idx="18">
                  <c:v>4.51212121212121</c:v>
                </c:pt>
                <c:pt idx="19">
                  <c:v>4.6354838709677404</c:v>
                </c:pt>
                <c:pt idx="20">
                  <c:v>4.46285714285714</c:v>
                </c:pt>
                <c:pt idx="21">
                  <c:v>4.2666666666666604</c:v>
                </c:pt>
                <c:pt idx="22">
                  <c:v>3.8333333333333299</c:v>
                </c:pt>
                <c:pt idx="23">
                  <c:v>4.2999999999999901</c:v>
                </c:pt>
                <c:pt idx="24">
                  <c:v>3.8333333333333299</c:v>
                </c:pt>
                <c:pt idx="25">
                  <c:v>4.1666666666666599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716-497E-804B-08A960EBC9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7112287"/>
        <c:axId val="377128511"/>
      </c:scatterChart>
      <c:valAx>
        <c:axId val="3771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28511"/>
        <c:crosses val="autoZero"/>
        <c:crossBetween val="midCat"/>
      </c:valAx>
      <c:valAx>
        <c:axId val="3771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1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'montelena estate'!$H$1</c:f>
              <c:strCache>
                <c:ptCount val="1"/>
                <c:pt idx="0">
                  <c:v>Mean Entropy 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891177744196117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E7-4EB6-B274-5A11FC3B869C}"/>
                </c:ext>
              </c:extLst>
            </c:dLbl>
            <c:dLbl>
              <c:idx val="3"/>
              <c:layout>
                <c:manualLayout>
                  <c:x val="-2.7603860123545165E-2"/>
                  <c:y val="9.4942038495188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E7-4EB6-B274-5A11FC3B869C}"/>
                </c:ext>
              </c:extLst>
            </c:dLbl>
            <c:dLbl>
              <c:idx val="5"/>
              <c:layout>
                <c:manualLayout>
                  <c:x val="-3.0970863490548693E-2"/>
                  <c:y val="0.113460557013706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E7-4EB6-B274-5A11FC3B869C}"/>
                </c:ext>
              </c:extLst>
            </c:dLbl>
            <c:dLbl>
              <c:idx val="6"/>
              <c:layout>
                <c:manualLayout>
                  <c:x val="-9.6465088328604558E-3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7-4EB6-B274-5A11FC3B869C}"/>
                </c:ext>
              </c:extLst>
            </c:dLbl>
            <c:dLbl>
              <c:idx val="8"/>
              <c:layout>
                <c:manualLayout>
                  <c:x val="-2.8726194579213035E-2"/>
                  <c:y val="-0.122650554097404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E7-4EB6-B274-5A11FC3B869C}"/>
                </c:ext>
              </c:extLst>
            </c:dLbl>
            <c:dLbl>
              <c:idx val="9"/>
              <c:layout>
                <c:manualLayout>
                  <c:x val="-4.187995439963952E-2"/>
                  <c:y val="-0.155057961504811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E7-4EB6-B274-5A11FC3B869C}"/>
                </c:ext>
              </c:extLst>
            </c:dLbl>
            <c:dLbl>
              <c:idx val="12"/>
              <c:layout>
                <c:manualLayout>
                  <c:x val="-2.3114522300874088E-2"/>
                  <c:y val="-0.141169072615922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E7-4EB6-B274-5A11FC3B869C}"/>
                </c:ext>
              </c:extLst>
            </c:dLbl>
            <c:dLbl>
              <c:idx val="13"/>
              <c:layout>
                <c:manualLayout>
                  <c:x val="-1.7502850022535061E-2"/>
                  <c:y val="0.104201297754447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E7-4EB6-B274-5A11FC3B869C}"/>
                </c:ext>
              </c:extLst>
            </c:dLbl>
            <c:dLbl>
              <c:idx val="15"/>
              <c:layout>
                <c:manualLayout>
                  <c:x val="-3.5460201313219683E-2"/>
                  <c:y val="0.104201297754447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E7-4EB6-B274-5A11FC3B869C}"/>
                </c:ext>
              </c:extLst>
            </c:dLbl>
            <c:dLbl>
              <c:idx val="18"/>
              <c:layout>
                <c:manualLayout>
                  <c:x val="-2.1992187845206259E-2"/>
                  <c:y val="0.11346055701370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E7-4EB6-B274-5A11FC3B869C}"/>
                </c:ext>
              </c:extLst>
            </c:dLbl>
            <c:dLbl>
              <c:idx val="21"/>
              <c:layout>
                <c:manualLayout>
                  <c:x val="-2.1992187845206259E-2"/>
                  <c:y val="9.4942038495188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E7-4EB6-B274-5A11FC3B869C}"/>
                </c:ext>
              </c:extLst>
            </c:dLbl>
            <c:dLbl>
              <c:idx val="24"/>
              <c:layout>
                <c:manualLayout>
                  <c:x val="-3.2093197946216317E-2"/>
                  <c:y val="9.4942038495188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E7-4EB6-B274-5A11FC3B869C}"/>
                </c:ext>
              </c:extLst>
            </c:dLbl>
            <c:dLbl>
              <c:idx val="25"/>
              <c:layout>
                <c:manualLayout>
                  <c:x val="-5.9029224882243256E-2"/>
                  <c:y val="-7.6354257801108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E7-4EB6-B274-5A11FC3B8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estate'!$H$2:$H$27</c:f>
              <c:numCache>
                <c:formatCode>General</c:formatCode>
                <c:ptCount val="26"/>
                <c:pt idx="0">
                  <c:v>0.98200799999999999</c:v>
                </c:pt>
                <c:pt idx="1">
                  <c:v>1.3184530000000001</c:v>
                </c:pt>
                <c:pt idx="2">
                  <c:v>1.222453</c:v>
                </c:pt>
                <c:pt idx="3">
                  <c:v>1.040799</c:v>
                </c:pt>
                <c:pt idx="4">
                  <c:v>1.1863360000000001</c:v>
                </c:pt>
                <c:pt idx="5">
                  <c:v>1.0351509999999999</c:v>
                </c:pt>
                <c:pt idx="6">
                  <c:v>1.195686</c:v>
                </c:pt>
                <c:pt idx="7">
                  <c:v>1.0381499999999999</c:v>
                </c:pt>
                <c:pt idx="8">
                  <c:v>1.200971</c:v>
                </c:pt>
                <c:pt idx="9">
                  <c:v>1.13988</c:v>
                </c:pt>
                <c:pt idx="10">
                  <c:v>1.1078809999999999</c:v>
                </c:pt>
                <c:pt idx="11">
                  <c:v>1.072535</c:v>
                </c:pt>
                <c:pt idx="12">
                  <c:v>1.1628179999999999</c:v>
                </c:pt>
                <c:pt idx="13">
                  <c:v>1.2997129999999999</c:v>
                </c:pt>
                <c:pt idx="14">
                  <c:v>1.225117</c:v>
                </c:pt>
                <c:pt idx="15">
                  <c:v>1.2395449999999999</c:v>
                </c:pt>
                <c:pt idx="16">
                  <c:v>1.2487299999999999</c:v>
                </c:pt>
                <c:pt idx="17">
                  <c:v>1.4350419999999999</c:v>
                </c:pt>
                <c:pt idx="18">
                  <c:v>1.0120180000000001</c:v>
                </c:pt>
                <c:pt idx="19">
                  <c:v>1.2181040000000001</c:v>
                </c:pt>
                <c:pt idx="20">
                  <c:v>1.4314549999999999</c:v>
                </c:pt>
                <c:pt idx="21">
                  <c:v>0.98487800000000003</c:v>
                </c:pt>
                <c:pt idx="22">
                  <c:v>1.6350290000000001</c:v>
                </c:pt>
                <c:pt idx="23">
                  <c:v>1.2836099999999999</c:v>
                </c:pt>
                <c:pt idx="24">
                  <c:v>1.0030140000000001</c:v>
                </c:pt>
                <c:pt idx="25">
                  <c:v>1.303256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7E7-4EB6-B274-5A11FC3B869C}"/>
            </c:ext>
          </c:extLst>
        </c:ser>
        <c:ser>
          <c:idx val="1"/>
          <c:order val="1"/>
          <c:tx>
            <c:strRef>
              <c:f>'montelena estate'!$I$1</c:f>
              <c:strCache>
                <c:ptCount val="1"/>
                <c:pt idx="0">
                  <c:v>Mean Entropy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6.0661735464885074E-3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E7-4EB6-B274-5A11FC3B869C}"/>
                </c:ext>
              </c:extLst>
            </c:dLbl>
            <c:dLbl>
              <c:idx val="1"/>
              <c:layout>
                <c:manualLayout>
                  <c:x val="-8.5241743771927499E-3"/>
                  <c:y val="-0.122650554097404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E7-4EB6-B274-5A11FC3B869C}"/>
                </c:ext>
              </c:extLst>
            </c:dLbl>
            <c:dLbl>
              <c:idx val="2"/>
              <c:layout>
                <c:manualLayout>
                  <c:x val="-3.6582535768887474E-2"/>
                  <c:y val="-0.210613517060367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E7-4EB6-B274-5A11FC3B869C}"/>
                </c:ext>
              </c:extLst>
            </c:dLbl>
            <c:dLbl>
              <c:idx val="3"/>
              <c:layout>
                <c:manualLayout>
                  <c:x val="-3.3215532401884108E-2"/>
                  <c:y val="-0.127280183727034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7E7-4EB6-B274-5A11FC3B869C}"/>
                </c:ext>
              </c:extLst>
            </c:dLbl>
            <c:dLbl>
              <c:idx val="4"/>
              <c:layout>
                <c:manualLayout>
                  <c:x val="-3.8827204680223056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E7-4EB6-B274-5A11FC3B869C}"/>
                </c:ext>
              </c:extLst>
            </c:dLbl>
            <c:dLbl>
              <c:idx val="5"/>
              <c:layout>
                <c:manualLayout>
                  <c:x val="-4.556121141422987E-2"/>
                  <c:y val="-0.182835739282589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7E7-4EB6-B274-5A11FC3B869C}"/>
                </c:ext>
              </c:extLst>
            </c:dLbl>
            <c:dLbl>
              <c:idx val="6"/>
              <c:layout>
                <c:manualLayout>
                  <c:x val="-6.2795054658571717E-3"/>
                  <c:y val="-9.0243146689997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7E7-4EB6-B274-5A11FC3B869C}"/>
                </c:ext>
              </c:extLst>
            </c:dLbl>
            <c:dLbl>
              <c:idx val="8"/>
              <c:layout>
                <c:manualLayout>
                  <c:x val="-2.8726194579213035E-2"/>
                  <c:y val="-0.173576480023330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7E7-4EB6-B274-5A11FC3B869C}"/>
                </c:ext>
              </c:extLst>
            </c:dLbl>
            <c:dLbl>
              <c:idx val="10"/>
              <c:layout>
                <c:manualLayout>
                  <c:x val="-2.1992187845206301E-2"/>
                  <c:y val="-0.16894685039370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7E7-4EB6-B274-5A11FC3B869C}"/>
                </c:ext>
              </c:extLst>
            </c:dLbl>
            <c:dLbl>
              <c:idx val="11"/>
              <c:layout>
                <c:manualLayout>
                  <c:x val="-6.2795054658571717E-3"/>
                  <c:y val="-8.098388743073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7E7-4EB6-B274-5A11FC3B869C}"/>
                </c:ext>
              </c:extLst>
            </c:dLbl>
            <c:dLbl>
              <c:idx val="12"/>
              <c:layout>
                <c:manualLayout>
                  <c:x val="-2.8726194579212952E-2"/>
                  <c:y val="-9.0243146689997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7E7-4EB6-B274-5A11FC3B869C}"/>
                </c:ext>
              </c:extLst>
            </c:dLbl>
            <c:dLbl>
              <c:idx val="13"/>
              <c:layout>
                <c:manualLayout>
                  <c:x val="8.3108424578240848E-3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7E7-4EB6-B274-5A11FC3B869C}"/>
                </c:ext>
              </c:extLst>
            </c:dLbl>
            <c:dLbl>
              <c:idx val="14"/>
              <c:layout>
                <c:manualLayout>
                  <c:x val="-1.5258181111199485E-2"/>
                  <c:y val="-0.16894685039370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7E7-4EB6-B274-5A11FC3B869C}"/>
                </c:ext>
              </c:extLst>
            </c:dLbl>
            <c:dLbl>
              <c:idx val="15"/>
              <c:layout>
                <c:manualLayout>
                  <c:x val="-2.8726194579212952E-2"/>
                  <c:y val="-0.159687591134441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7E7-4EB6-B274-5A11FC3B869C}"/>
                </c:ext>
              </c:extLst>
            </c:dLbl>
            <c:dLbl>
              <c:idx val="17"/>
              <c:layout>
                <c:manualLayout>
                  <c:x val="-1.1891177744196117E-2"/>
                  <c:y val="-0.18283573928258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7E7-4EB6-B274-5A11FC3B869C}"/>
                </c:ext>
              </c:extLst>
            </c:dLbl>
            <c:dLbl>
              <c:idx val="18"/>
              <c:layout>
                <c:manualLayout>
                  <c:x val="-3.5460201313219725E-2"/>
                  <c:y val="-0.131909813356663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7E7-4EB6-B274-5A11FC3B869C}"/>
                </c:ext>
              </c:extLst>
            </c:dLbl>
            <c:dLbl>
              <c:idx val="19"/>
              <c:layout>
                <c:manualLayout>
                  <c:x val="-5.9029224882243256E-2"/>
                  <c:y val="-0.108761665208515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7E7-4EB6-B274-5A11FC3B869C}"/>
                </c:ext>
              </c:extLst>
            </c:dLbl>
            <c:dLbl>
              <c:idx val="23"/>
              <c:layout>
                <c:manualLayout>
                  <c:x val="-2.4236856756541816E-2"/>
                  <c:y val="-0.145798702245552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7E7-4EB6-B274-5A11FC3B869C}"/>
                </c:ext>
              </c:extLst>
            </c:dLbl>
            <c:dLbl>
              <c:idx val="24"/>
              <c:layout>
                <c:manualLayout>
                  <c:x val="-3.9949539135890839E-2"/>
                  <c:y val="-0.215243146689997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7E7-4EB6-B274-5A11FC3B869C}"/>
                </c:ext>
              </c:extLst>
            </c:dLbl>
            <c:dLbl>
              <c:idx val="25"/>
              <c:layout>
                <c:manualLayout>
                  <c:x val="-5.198096450064954E-2"/>
                  <c:y val="-0.113391294838145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7E7-4EB6-B274-5A11FC3B8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estate'!$I$2:$I$27</c:f>
              <c:numCache>
                <c:formatCode>General</c:formatCode>
                <c:ptCount val="26"/>
                <c:pt idx="0">
                  <c:v>2.1349010000000002</c:v>
                </c:pt>
                <c:pt idx="1">
                  <c:v>2.2543069999999998</c:v>
                </c:pt>
                <c:pt idx="2">
                  <c:v>2.2429329999999998</c:v>
                </c:pt>
                <c:pt idx="3">
                  <c:v>2.205867</c:v>
                </c:pt>
                <c:pt idx="4">
                  <c:v>2.2535449999999999</c:v>
                </c:pt>
                <c:pt idx="5">
                  <c:v>2.194623</c:v>
                </c:pt>
                <c:pt idx="6">
                  <c:v>2.2313749999999999</c:v>
                </c:pt>
                <c:pt idx="7">
                  <c:v>2.239833</c:v>
                </c:pt>
                <c:pt idx="8">
                  <c:v>2.2532760000000001</c:v>
                </c:pt>
                <c:pt idx="9">
                  <c:v>2.2305709999999999</c:v>
                </c:pt>
                <c:pt idx="10">
                  <c:v>2.215049</c:v>
                </c:pt>
                <c:pt idx="11">
                  <c:v>2.1861679999999999</c:v>
                </c:pt>
                <c:pt idx="12">
                  <c:v>2.2300770000000001</c:v>
                </c:pt>
                <c:pt idx="13">
                  <c:v>2.2964470000000001</c:v>
                </c:pt>
                <c:pt idx="14">
                  <c:v>2.272132</c:v>
                </c:pt>
                <c:pt idx="15">
                  <c:v>2.2304430000000002</c:v>
                </c:pt>
                <c:pt idx="16">
                  <c:v>2.2909630000000001</c:v>
                </c:pt>
                <c:pt idx="17">
                  <c:v>2.3836520000000001</c:v>
                </c:pt>
                <c:pt idx="18">
                  <c:v>2.1967050000000001</c:v>
                </c:pt>
                <c:pt idx="19">
                  <c:v>2.2692830000000002</c:v>
                </c:pt>
                <c:pt idx="20">
                  <c:v>2.4055179999999998</c:v>
                </c:pt>
                <c:pt idx="21">
                  <c:v>2.1621769999999998</c:v>
                </c:pt>
                <c:pt idx="22">
                  <c:v>2.5376069999999999</c:v>
                </c:pt>
                <c:pt idx="23">
                  <c:v>2.3108970000000002</c:v>
                </c:pt>
                <c:pt idx="24">
                  <c:v>2.2800039999999999</c:v>
                </c:pt>
                <c:pt idx="25">
                  <c:v>2.3776700000000002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7E7-4EB6-B274-5A11FC3B86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0780415"/>
        <c:axId val="400783327"/>
      </c:scatterChart>
      <c:valAx>
        <c:axId val="40078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83327"/>
        <c:crosses val="autoZero"/>
        <c:crossBetween val="midCat"/>
      </c:valAx>
      <c:valAx>
        <c:axId val="4007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8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'montelena estate'!$J$1</c:f>
              <c:strCache>
                <c:ptCount val="1"/>
                <c:pt idx="0">
                  <c:v>Number of Reviews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'montelena estate'!$A$2:$A$27</c:f>
              <c:numCache>
                <c:formatCode>General</c:formatCode>
                <c:ptCount val="26"/>
                <c:pt idx="0">
                  <c:v>2021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2015</c:v>
                </c:pt>
                <c:pt idx="5">
                  <c:v>2014</c:v>
                </c:pt>
                <c:pt idx="6">
                  <c:v>2011</c:v>
                </c:pt>
                <c:pt idx="7">
                  <c:v>2010</c:v>
                </c:pt>
                <c:pt idx="8">
                  <c:v>2009</c:v>
                </c:pt>
                <c:pt idx="9">
                  <c:v>2008</c:v>
                </c:pt>
                <c:pt idx="10">
                  <c:v>2006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1999</c:v>
                </c:pt>
                <c:pt idx="16">
                  <c:v>1997</c:v>
                </c:pt>
                <c:pt idx="17">
                  <c:v>1994</c:v>
                </c:pt>
                <c:pt idx="18">
                  <c:v>1993</c:v>
                </c:pt>
                <c:pt idx="19">
                  <c:v>1992</c:v>
                </c:pt>
                <c:pt idx="20">
                  <c:v>1987</c:v>
                </c:pt>
                <c:pt idx="21">
                  <c:v>1986</c:v>
                </c:pt>
                <c:pt idx="22">
                  <c:v>1983</c:v>
                </c:pt>
                <c:pt idx="23">
                  <c:v>1980</c:v>
                </c:pt>
                <c:pt idx="24">
                  <c:v>1979</c:v>
                </c:pt>
                <c:pt idx="25">
                  <c:v>1978</c:v>
                </c:pt>
              </c:numCache>
            </c:numRef>
          </c:xVal>
          <c:yVal>
            <c:numRef>
              <c:f>'montelena estate'!$J$2:$J$27</c:f>
              <c:numCache>
                <c:formatCode>General</c:formatCode>
                <c:ptCount val="26"/>
                <c:pt idx="0">
                  <c:v>8</c:v>
                </c:pt>
                <c:pt idx="1">
                  <c:v>100</c:v>
                </c:pt>
                <c:pt idx="2">
                  <c:v>91</c:v>
                </c:pt>
                <c:pt idx="3">
                  <c:v>124</c:v>
                </c:pt>
                <c:pt idx="4">
                  <c:v>148</c:v>
                </c:pt>
                <c:pt idx="5">
                  <c:v>197</c:v>
                </c:pt>
                <c:pt idx="6">
                  <c:v>170</c:v>
                </c:pt>
                <c:pt idx="7">
                  <c:v>241</c:v>
                </c:pt>
                <c:pt idx="8">
                  <c:v>206</c:v>
                </c:pt>
                <c:pt idx="9">
                  <c:v>170</c:v>
                </c:pt>
                <c:pt idx="10">
                  <c:v>334</c:v>
                </c:pt>
                <c:pt idx="11">
                  <c:v>160</c:v>
                </c:pt>
                <c:pt idx="12">
                  <c:v>190</c:v>
                </c:pt>
                <c:pt idx="13">
                  <c:v>84</c:v>
                </c:pt>
                <c:pt idx="14">
                  <c:v>77</c:v>
                </c:pt>
                <c:pt idx="15">
                  <c:v>51</c:v>
                </c:pt>
                <c:pt idx="16">
                  <c:v>73</c:v>
                </c:pt>
                <c:pt idx="17">
                  <c:v>26</c:v>
                </c:pt>
                <c:pt idx="18">
                  <c:v>33</c:v>
                </c:pt>
                <c:pt idx="19">
                  <c:v>31</c:v>
                </c:pt>
                <c:pt idx="20">
                  <c:v>35</c:v>
                </c:pt>
                <c:pt idx="21">
                  <c:v>18</c:v>
                </c:pt>
                <c:pt idx="22">
                  <c:v>9</c:v>
                </c:pt>
                <c:pt idx="23">
                  <c:v>5</c:v>
                </c:pt>
                <c:pt idx="24">
                  <c:v>3</c:v>
                </c:pt>
                <c:pt idx="2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7-46D1-AD6A-9AD6BC9407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00772927"/>
        <c:axId val="400775423"/>
      </c:scatterChart>
      <c:valAx>
        <c:axId val="40077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75423"/>
        <c:crosses val="autoZero"/>
        <c:crossBetween val="midCat"/>
      </c:valAx>
      <c:valAx>
        <c:axId val="4007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7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ridge_montebello!$B$1</c:f>
              <c:strCache>
                <c:ptCount val="1"/>
                <c:pt idx="0">
                  <c:v>Market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ridge_montebello!$B$2:$B$12</c:f>
              <c:numCache>
                <c:formatCode>General</c:formatCode>
                <c:ptCount val="11"/>
                <c:pt idx="0">
                  <c:v>277.60000000000002</c:v>
                </c:pt>
                <c:pt idx="1">
                  <c:v>224.99</c:v>
                </c:pt>
                <c:pt idx="2">
                  <c:v>245.52</c:v>
                </c:pt>
                <c:pt idx="3">
                  <c:v>233</c:v>
                </c:pt>
                <c:pt idx="4">
                  <c:v>218.13</c:v>
                </c:pt>
                <c:pt idx="5">
                  <c:v>342.06</c:v>
                </c:pt>
                <c:pt idx="6">
                  <c:v>252.83</c:v>
                </c:pt>
                <c:pt idx="7">
                  <c:v>229.99</c:v>
                </c:pt>
                <c:pt idx="8">
                  <c:v>256.79000000000002</c:v>
                </c:pt>
                <c:pt idx="9">
                  <c:v>267.7</c:v>
                </c:pt>
                <c:pt idx="10">
                  <c:v>381.72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4-4885-8319-9900E85F7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78570560"/>
        <c:axId val="1478586784"/>
      </c:scatterChart>
      <c:valAx>
        <c:axId val="14785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586784"/>
        <c:crosses val="autoZero"/>
        <c:crossBetween val="midCat"/>
      </c:valAx>
      <c:valAx>
        <c:axId val="14785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ridge_montebello!$C$1</c:f>
              <c:strCache>
                <c:ptCount val="1"/>
                <c:pt idx="0">
                  <c:v>Listed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159614663551671E-4"/>
                  <c:y val="-0.107007399657094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DE-4EE2-97B2-9341DF2E9D2C}"/>
                </c:ext>
              </c:extLst>
            </c:dLbl>
            <c:dLbl>
              <c:idx val="1"/>
              <c:layout>
                <c:manualLayout>
                  <c:x val="-8.6908482593522074E-2"/>
                  <c:y val="-3.563677717447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DE-4EE2-97B2-9341DF2E9D2C}"/>
                </c:ext>
              </c:extLst>
            </c:dLbl>
            <c:dLbl>
              <c:idx val="5"/>
              <c:layout>
                <c:manualLayout>
                  <c:x val="3.9340082489688248E-3"/>
                  <c:y val="-0.145936830102156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DE-4EE2-97B2-9341DF2E9D2C}"/>
                </c:ext>
              </c:extLst>
            </c:dLbl>
            <c:dLbl>
              <c:idx val="6"/>
              <c:layout>
                <c:manualLayout>
                  <c:x val="-9.2528049378443073E-3"/>
                  <c:y val="-0.243260406214812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DE-4EE2-97B2-9341DF2E9D2C}"/>
                </c:ext>
              </c:extLst>
            </c:dLbl>
            <c:dLbl>
              <c:idx val="7"/>
              <c:layout>
                <c:manualLayout>
                  <c:x val="-2.6835222520261891E-2"/>
                  <c:y val="-0.236772167807302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DE-4EE2-97B2-9341DF2E9D2C}"/>
                </c:ext>
              </c:extLst>
            </c:dLbl>
            <c:dLbl>
              <c:idx val="8"/>
              <c:layout>
                <c:manualLayout>
                  <c:x val="-5.6139251824291192E-2"/>
                  <c:y val="-0.275701598252364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DE-4EE2-97B2-9341DF2E9D2C}"/>
                </c:ext>
              </c:extLst>
            </c:dLbl>
            <c:dLbl>
              <c:idx val="10"/>
              <c:layout>
                <c:manualLayout>
                  <c:x val="-8.2512878197917583E-2"/>
                  <c:y val="-5.5101492397010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DE-4EE2-97B2-9341DF2E9D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ridge_montebello!$C$2:$C$12</c:f>
              <c:numCache>
                <c:formatCode>"$"#,##0.00_);[Red]\("$"#,##0.00\)</c:formatCode>
                <c:ptCount val="11"/>
                <c:pt idx="0">
                  <c:v>224.99</c:v>
                </c:pt>
                <c:pt idx="1">
                  <c:v>224.99</c:v>
                </c:pt>
                <c:pt idx="2">
                  <c:v>245.52</c:v>
                </c:pt>
                <c:pt idx="3">
                  <c:v>245.52</c:v>
                </c:pt>
                <c:pt idx="4">
                  <c:v>229.99</c:v>
                </c:pt>
                <c:pt idx="5">
                  <c:v>229.99</c:v>
                </c:pt>
                <c:pt idx="6">
                  <c:v>229.99</c:v>
                </c:pt>
                <c:pt idx="7">
                  <c:v>229.99</c:v>
                </c:pt>
                <c:pt idx="8">
                  <c:v>229.99</c:v>
                </c:pt>
                <c:pt idx="9">
                  <c:v>229.99</c:v>
                </c:pt>
                <c:pt idx="10">
                  <c:v>229.99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3-4CB4-88EC-4CE6A2ABED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83825360"/>
        <c:axId val="1483824944"/>
      </c:scatterChart>
      <c:valAx>
        <c:axId val="14838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24944"/>
        <c:crosses val="autoZero"/>
        <c:crossBetween val="midCat"/>
      </c:valAx>
      <c:valAx>
        <c:axId val="14838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2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ridge_montebello!$F$1</c:f>
              <c:strCache>
                <c:ptCount val="1"/>
                <c:pt idx="0">
                  <c:v>Reported Average 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3625148606971173E-2"/>
                  <c:y val="-0.145798702245552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69-455B-8F07-5D8777B5BC94}"/>
                </c:ext>
              </c:extLst>
            </c:dLbl>
            <c:dLbl>
              <c:idx val="2"/>
              <c:layout>
                <c:manualLayout>
                  <c:x val="-6.0094878730968367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69-455B-8F07-5D8777B5BC94}"/>
                </c:ext>
              </c:extLst>
            </c:dLbl>
            <c:dLbl>
              <c:idx val="6"/>
              <c:layout>
                <c:manualLayout>
                  <c:x val="-2.8032186009607506E-2"/>
                  <c:y val="-9.9502405949256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69-455B-8F07-5D8777B5BC94}"/>
                </c:ext>
              </c:extLst>
            </c:dLbl>
            <c:dLbl>
              <c:idx val="7"/>
              <c:layout>
                <c:manualLayout>
                  <c:x val="-4.9937991047942665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69-455B-8F07-5D8777B5BC94}"/>
                </c:ext>
              </c:extLst>
            </c:dLbl>
            <c:dLbl>
              <c:idx val="8"/>
              <c:layout>
                <c:manualLayout>
                  <c:x val="-2.3623885088762155E-2"/>
                  <c:y val="8.105314960629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69-455B-8F07-5D8777B5BC94}"/>
                </c:ext>
              </c:extLst>
            </c:dLbl>
            <c:dLbl>
              <c:idx val="9"/>
              <c:layout>
                <c:manualLayout>
                  <c:x val="-2.5083937811931058E-2"/>
                  <c:y val="-0.113391294838145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69-455B-8F07-5D8777B5B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ridge_montebello!$F$2:$F$12</c:f>
              <c:numCache>
                <c:formatCode>General</c:formatCode>
                <c:ptCount val="11"/>
                <c:pt idx="0">
                  <c:v>4.5</c:v>
                </c:pt>
                <c:pt idx="1">
                  <c:v>4.4000000000000004</c:v>
                </c:pt>
                <c:pt idx="2">
                  <c:v>4.5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4.5999999999999996</c:v>
                </c:pt>
                <c:pt idx="9">
                  <c:v>4.5</c:v>
                </c:pt>
                <c:pt idx="1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9-455B-8F07-5D8777B5BC94}"/>
            </c:ext>
          </c:extLst>
        </c:ser>
        <c:ser>
          <c:idx val="1"/>
          <c:order val="1"/>
          <c:tx>
            <c:strRef>
              <c:f>ridge_montebello!$G$1</c:f>
              <c:strCache>
                <c:ptCount val="1"/>
                <c:pt idx="0">
                  <c:v>Calculated Average Rating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8.4252427965104029E-2"/>
                  <c:y val="2.349445902595424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69-455B-8F07-5D8777B5BC94}"/>
                </c:ext>
              </c:extLst>
            </c:dLbl>
            <c:dLbl>
              <c:idx val="3"/>
              <c:layout>
                <c:manualLayout>
                  <c:x val="-4.58570960905599E-2"/>
                  <c:y val="8.1053149606299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69-455B-8F07-5D8777B5BC94}"/>
                </c:ext>
              </c:extLst>
            </c:dLbl>
            <c:dLbl>
              <c:idx val="6"/>
              <c:layout>
                <c:manualLayout>
                  <c:x val="-4.2986548915777696E-2"/>
                  <c:y val="9.95716681248176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69-455B-8F07-5D8777B5BC94}"/>
                </c:ext>
              </c:extLst>
            </c:dLbl>
            <c:dLbl>
              <c:idx val="7"/>
              <c:layout>
                <c:manualLayout>
                  <c:x val="-3.7104360860800496E-2"/>
                  <c:y val="-0.150428331875182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69-455B-8F07-5D8777B5BC94}"/>
                </c:ext>
              </c:extLst>
            </c:dLbl>
            <c:dLbl>
              <c:idx val="8"/>
              <c:layout>
                <c:manualLayout>
                  <c:x val="-0.12184744705378421"/>
                  <c:y val="-0.104132035578885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69-455B-8F07-5D8777B5BC94}"/>
                </c:ext>
              </c:extLst>
            </c:dLbl>
            <c:dLbl>
              <c:idx val="9"/>
              <c:layout>
                <c:manualLayout>
                  <c:x val="-1.6681311991362104E-2"/>
                  <c:y val="8.105314960629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69-455B-8F07-5D8777B5BC94}"/>
                </c:ext>
              </c:extLst>
            </c:dLbl>
            <c:dLbl>
              <c:idx val="10"/>
              <c:layout>
                <c:manualLayout>
                  <c:x val="-6.4821355755038279E-2"/>
                  <c:y val="9.9571668124817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69-455B-8F07-5D8777B5B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ridge_montebello!$G$2:$G$12</c:f>
              <c:numCache>
                <c:formatCode>General</c:formatCode>
                <c:ptCount val="11"/>
                <c:pt idx="0">
                  <c:v>4.5777777777777704</c:v>
                </c:pt>
                <c:pt idx="1">
                  <c:v>4.3879999999999901</c:v>
                </c:pt>
                <c:pt idx="2">
                  <c:v>4.5338345864661598</c:v>
                </c:pt>
                <c:pt idx="3">
                  <c:v>4.5627450980392101</c:v>
                </c:pt>
                <c:pt idx="4">
                  <c:v>4.4831081081080999</c:v>
                </c:pt>
                <c:pt idx="5">
                  <c:v>4.5728260869565203</c:v>
                </c:pt>
                <c:pt idx="6">
                  <c:v>4.4869047619047597</c:v>
                </c:pt>
                <c:pt idx="7">
                  <c:v>4.5580645161290301</c:v>
                </c:pt>
                <c:pt idx="8">
                  <c:v>4.6142857142857103</c:v>
                </c:pt>
                <c:pt idx="9">
                  <c:v>4.4957446808510602</c:v>
                </c:pt>
                <c:pt idx="10">
                  <c:v>4.4581967213114702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69-455B-8F07-5D8777B5BC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53225712"/>
        <c:axId val="1553223632"/>
      </c:scatterChart>
      <c:valAx>
        <c:axId val="15532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23632"/>
        <c:crosses val="autoZero"/>
        <c:crossBetween val="midCat"/>
      </c:valAx>
      <c:valAx>
        <c:axId val="15532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25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ridge_montebello!$H$1</c:f>
              <c:strCache>
                <c:ptCount val="1"/>
                <c:pt idx="0">
                  <c:v>Mean Entropy 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9889538794904041E-3"/>
                  <c:y val="-9.9502405949256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31-48F1-B683-2D8E8AE696F5}"/>
                </c:ext>
              </c:extLst>
            </c:dLbl>
            <c:dLbl>
              <c:idx val="2"/>
              <c:layout>
                <c:manualLayout>
                  <c:x val="-7.1435963362575447E-2"/>
                  <c:y val="-9.9502405949256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231-48F1-B683-2D8E8AE696F5}"/>
                </c:ext>
              </c:extLst>
            </c:dLbl>
            <c:dLbl>
              <c:idx val="5"/>
              <c:layout>
                <c:manualLayout>
                  <c:x val="-6.7326591944459856E-3"/>
                  <c:y val="-0.113391294838145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231-48F1-B683-2D8E8AE696F5}"/>
                </c:ext>
              </c:extLst>
            </c:dLbl>
            <c:dLbl>
              <c:idx val="6"/>
              <c:layout>
                <c:manualLayout>
                  <c:x val="-3.1641086976561039E-2"/>
                  <c:y val="9.4942038495188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231-48F1-B683-2D8E8AE696F5}"/>
                </c:ext>
              </c:extLst>
            </c:dLbl>
            <c:dLbl>
              <c:idx val="7"/>
              <c:layout>
                <c:manualLayout>
                  <c:x val="-8.1978608286880483E-3"/>
                  <c:y val="-0.155057961504811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231-48F1-B683-2D8E8AE696F5}"/>
                </c:ext>
              </c:extLst>
            </c:dLbl>
            <c:dLbl>
              <c:idx val="8"/>
              <c:layout>
                <c:manualLayout>
                  <c:x val="-6.0945119661402286E-2"/>
                  <c:y val="-8.098388743073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231-48F1-B683-2D8E8AE696F5}"/>
                </c:ext>
              </c:extLst>
            </c:dLbl>
            <c:dLbl>
              <c:idx val="9"/>
              <c:layout>
                <c:manualLayout>
                  <c:x val="-3.3106288610803135E-2"/>
                  <c:y val="8.5682779235928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231-48F1-B683-2D8E8AE696F5}"/>
                </c:ext>
              </c:extLst>
            </c:dLbl>
            <c:dLbl>
              <c:idx val="10"/>
              <c:layout>
                <c:manualLayout>
                  <c:x val="-9.4644757248969716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231-48F1-B683-2D8E8AE69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ridge_montebello!$H$2:$H$12</c:f>
              <c:numCache>
                <c:formatCode>General</c:formatCode>
                <c:ptCount val="11"/>
                <c:pt idx="0">
                  <c:v>1.2874829999999999</c:v>
                </c:pt>
                <c:pt idx="1">
                  <c:v>1.142579</c:v>
                </c:pt>
                <c:pt idx="2">
                  <c:v>1.234</c:v>
                </c:pt>
                <c:pt idx="3">
                  <c:v>1.308821</c:v>
                </c:pt>
                <c:pt idx="4">
                  <c:v>1.2126079999999999</c:v>
                </c:pt>
                <c:pt idx="5">
                  <c:v>1.1757470000000001</c:v>
                </c:pt>
                <c:pt idx="6">
                  <c:v>1.1990229999999999</c:v>
                </c:pt>
                <c:pt idx="7">
                  <c:v>1.1338079999999999</c:v>
                </c:pt>
                <c:pt idx="8">
                  <c:v>1.361289</c:v>
                </c:pt>
                <c:pt idx="9">
                  <c:v>1.189308</c:v>
                </c:pt>
                <c:pt idx="10">
                  <c:v>1.297617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1-48F1-B683-2D8E8AE696F5}"/>
            </c:ext>
          </c:extLst>
        </c:ser>
        <c:ser>
          <c:idx val="1"/>
          <c:order val="1"/>
          <c:tx>
            <c:strRef>
              <c:f>ridge_montebello!$I$1</c:f>
              <c:strCache>
                <c:ptCount val="1"/>
                <c:pt idx="0">
                  <c:v>Mean Entropy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2571373490395258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31-48F1-B683-2D8E8AE696F5}"/>
                </c:ext>
              </c:extLst>
            </c:dLbl>
            <c:dLbl>
              <c:idx val="2"/>
              <c:layout>
                <c:manualLayout>
                  <c:x val="-9.3179555614727766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231-48F1-B683-2D8E8AE696F5}"/>
                </c:ext>
              </c:extLst>
            </c:dLbl>
            <c:dLbl>
              <c:idx val="5"/>
              <c:layout>
                <c:manualLayout>
                  <c:x val="-6.7326591944459856E-3"/>
                  <c:y val="-0.10876166520851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31-48F1-B683-2D8E8AE696F5}"/>
                </c:ext>
              </c:extLst>
            </c:dLbl>
            <c:dLbl>
              <c:idx val="7"/>
              <c:layout>
                <c:manualLayout>
                  <c:x val="-2.284987717110867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31-48F1-B683-2D8E8AE696F5}"/>
                </c:ext>
              </c:extLst>
            </c:dLbl>
            <c:dLbl>
              <c:idx val="8"/>
              <c:layout>
                <c:manualLayout>
                  <c:x val="-5.3619111490191974E-2"/>
                  <c:y val="-0.104132035578885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31-48F1-B683-2D8E8AE696F5}"/>
                </c:ext>
              </c:extLst>
            </c:dLbl>
            <c:dLbl>
              <c:idx val="10"/>
              <c:layout>
                <c:manualLayout>
                  <c:x val="-9.904036215169589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31-48F1-B683-2D8E8AE69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ridge_montebello!$I$2:$I$12</c:f>
              <c:numCache>
                <c:formatCode>General</c:formatCode>
                <c:ptCount val="11"/>
                <c:pt idx="0">
                  <c:v>2.2902550000000002</c:v>
                </c:pt>
                <c:pt idx="1">
                  <c:v>2.2380589999999998</c:v>
                </c:pt>
                <c:pt idx="2">
                  <c:v>2.2644310000000001</c:v>
                </c:pt>
                <c:pt idx="3">
                  <c:v>2.3143050000000001</c:v>
                </c:pt>
                <c:pt idx="4">
                  <c:v>2.296538</c:v>
                </c:pt>
                <c:pt idx="5">
                  <c:v>2.2784680000000002</c:v>
                </c:pt>
                <c:pt idx="6">
                  <c:v>2.2754400000000001</c:v>
                </c:pt>
                <c:pt idx="7">
                  <c:v>2.2856860000000001</c:v>
                </c:pt>
                <c:pt idx="8">
                  <c:v>2.299131</c:v>
                </c:pt>
                <c:pt idx="9">
                  <c:v>2.2307329999999999</c:v>
                </c:pt>
                <c:pt idx="10">
                  <c:v>2.3030270000000002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1-48F1-B683-2D8E8AE696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89216208"/>
        <c:axId val="1589214960"/>
      </c:scatterChart>
      <c:valAx>
        <c:axId val="158921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214960"/>
        <c:crosses val="autoZero"/>
        <c:crossBetween val="midCat"/>
      </c:valAx>
      <c:valAx>
        <c:axId val="15892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21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ridge_montebello!$J$1</c:f>
              <c:strCache>
                <c:ptCount val="1"/>
                <c:pt idx="0">
                  <c:v>Number of Reviews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ridge_montebello!$A$2:$A$12</c:f>
              <c:numCache>
                <c:formatCode>General</c:formatCode>
                <c:ptCount val="11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2014</c:v>
                </c:pt>
                <c:pt idx="4">
                  <c:v>2008</c:v>
                </c:pt>
                <c:pt idx="5">
                  <c:v>2005</c:v>
                </c:pt>
                <c:pt idx="6">
                  <c:v>2004</c:v>
                </c:pt>
                <c:pt idx="7">
                  <c:v>2003</c:v>
                </c:pt>
                <c:pt idx="8">
                  <c:v>2002</c:v>
                </c:pt>
                <c:pt idx="9">
                  <c:v>2000</c:v>
                </c:pt>
                <c:pt idx="10">
                  <c:v>1999</c:v>
                </c:pt>
              </c:numCache>
            </c:numRef>
          </c:xVal>
          <c:yVal>
            <c:numRef>
              <c:f>ridge_montebello!$J$2:$J$12</c:f>
              <c:numCache>
                <c:formatCode>General</c:formatCode>
                <c:ptCount val="11"/>
                <c:pt idx="0">
                  <c:v>18</c:v>
                </c:pt>
                <c:pt idx="1">
                  <c:v>50</c:v>
                </c:pt>
                <c:pt idx="2">
                  <c:v>133</c:v>
                </c:pt>
                <c:pt idx="3">
                  <c:v>255</c:v>
                </c:pt>
                <c:pt idx="4">
                  <c:v>148</c:v>
                </c:pt>
                <c:pt idx="5">
                  <c:v>92</c:v>
                </c:pt>
                <c:pt idx="6">
                  <c:v>84</c:v>
                </c:pt>
                <c:pt idx="7">
                  <c:v>62</c:v>
                </c:pt>
                <c:pt idx="8">
                  <c:v>56</c:v>
                </c:pt>
                <c:pt idx="9">
                  <c:v>94</c:v>
                </c:pt>
                <c:pt idx="10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E-4B60-ABE6-F74E7D206C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88688736"/>
        <c:axId val="1588687488"/>
      </c:scatterChart>
      <c:valAx>
        <c:axId val="15886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87488"/>
        <c:crosses val="autoZero"/>
        <c:crossBetween val="midCat"/>
      </c:valAx>
      <c:valAx>
        <c:axId val="15886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8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12</xdr:row>
      <xdr:rowOff>109537</xdr:rowOff>
    </xdr:from>
    <xdr:to>
      <xdr:col>18</xdr:col>
      <xdr:colOff>104775</xdr:colOff>
      <xdr:row>26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55C3D-262C-4859-837B-E6E43C85E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27</xdr:row>
      <xdr:rowOff>166687</xdr:rowOff>
    </xdr:from>
    <xdr:to>
      <xdr:col>18</xdr:col>
      <xdr:colOff>114300</xdr:colOff>
      <xdr:row>42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48A75-767A-482F-BB7B-34A19DC6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42</xdr:row>
      <xdr:rowOff>128587</xdr:rowOff>
    </xdr:from>
    <xdr:to>
      <xdr:col>18</xdr:col>
      <xdr:colOff>76200</xdr:colOff>
      <xdr:row>57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47C0CC-21C6-4EB0-900B-26CB7FF30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58</xdr:row>
      <xdr:rowOff>80962</xdr:rowOff>
    </xdr:from>
    <xdr:to>
      <xdr:col>18</xdr:col>
      <xdr:colOff>95250</xdr:colOff>
      <xdr:row>72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A97A47-C950-4B61-B199-99D40F766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352425</xdr:colOff>
      <xdr:row>73</xdr:row>
      <xdr:rowOff>147637</xdr:rowOff>
    </xdr:from>
    <xdr:to>
      <xdr:col>18</xdr:col>
      <xdr:colOff>123825</xdr:colOff>
      <xdr:row>88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2E7B9E-3FDD-475F-913D-51C19E888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27</xdr:row>
      <xdr:rowOff>147637</xdr:rowOff>
    </xdr:from>
    <xdr:to>
      <xdr:col>12</xdr:col>
      <xdr:colOff>200025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17D25-9B13-47ED-AE69-319578271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514350</xdr:colOff>
      <xdr:row>41</xdr:row>
      <xdr:rowOff>119062</xdr:rowOff>
    </xdr:from>
    <xdr:to>
      <xdr:col>12</xdr:col>
      <xdr:colOff>257175</xdr:colOff>
      <xdr:row>56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25168-61FF-4C37-890A-982092F13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457200</xdr:colOff>
      <xdr:row>56</xdr:row>
      <xdr:rowOff>157162</xdr:rowOff>
    </xdr:from>
    <xdr:to>
      <xdr:col>12</xdr:col>
      <xdr:colOff>381000</xdr:colOff>
      <xdr:row>71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CC6379-C3E4-41FC-9374-6B8481814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228601</xdr:colOff>
      <xdr:row>71</xdr:row>
      <xdr:rowOff>119062</xdr:rowOff>
    </xdr:from>
    <xdr:to>
      <xdr:col>13</xdr:col>
      <xdr:colOff>38101</xdr:colOff>
      <xdr:row>86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E3175E-0054-40D6-A12C-45EF3BEFB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257175</xdr:colOff>
      <xdr:row>86</xdr:row>
      <xdr:rowOff>128587</xdr:rowOff>
    </xdr:from>
    <xdr:to>
      <xdr:col>13</xdr:col>
      <xdr:colOff>276225</xdr:colOff>
      <xdr:row>101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8BD98D-181A-47BD-AFDB-622866D76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14</xdr:row>
      <xdr:rowOff>42862</xdr:rowOff>
    </xdr:from>
    <xdr:to>
      <xdr:col>10</xdr:col>
      <xdr:colOff>419099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C5BFC-9678-4679-9F16-DDFE42F56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27</xdr:row>
      <xdr:rowOff>42862</xdr:rowOff>
    </xdr:from>
    <xdr:to>
      <xdr:col>10</xdr:col>
      <xdr:colOff>447675</xdr:colOff>
      <xdr:row>37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6E882-E9FD-48D3-BAA8-C8D4233D7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219075</xdr:colOff>
      <xdr:row>38</xdr:row>
      <xdr:rowOff>52387</xdr:rowOff>
    </xdr:from>
    <xdr:to>
      <xdr:col>10</xdr:col>
      <xdr:colOff>495300</xdr:colOff>
      <xdr:row>52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9BD3A5-F3AD-49B9-9D3E-CB23DF71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266700</xdr:colOff>
      <xdr:row>53</xdr:row>
      <xdr:rowOff>61912</xdr:rowOff>
    </xdr:from>
    <xdr:to>
      <xdr:col>10</xdr:col>
      <xdr:colOff>514349</xdr:colOff>
      <xdr:row>67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CCB67B-918E-4289-8BC2-411DF52A6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295275</xdr:colOff>
      <xdr:row>68</xdr:row>
      <xdr:rowOff>100012</xdr:rowOff>
    </xdr:from>
    <xdr:to>
      <xdr:col>10</xdr:col>
      <xdr:colOff>504825</xdr:colOff>
      <xdr:row>80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1DA6F8-08C7-4B02-83E4-B6D2B6EB4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vivino.com/en/ridge-vineyards-monte-bello/w/3715?ref=nav-search&amp;year=2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7910-DAD3-4C62-A3B0-B6DA97C5A9CE}">
  <dimension ref="A1:K12"/>
  <sheetViews>
    <sheetView tabSelected="1" workbookViewId="0">
      <selection activeCell="O6" sqref="O6"/>
    </sheetView>
  </sheetViews>
  <sheetFormatPr defaultRowHeight="15" x14ac:dyDescent="0.25"/>
  <cols>
    <col min="2" max="2" width="12.140625" bestFit="1" customWidth="1"/>
    <col min="3" max="3" width="18.5703125" customWidth="1"/>
  </cols>
  <sheetData>
    <row r="1" spans="1:11" x14ac:dyDescent="0.25">
      <c r="A1" t="s">
        <v>0</v>
      </c>
      <c r="B1" t="s">
        <v>60</v>
      </c>
      <c r="C1" t="s">
        <v>59</v>
      </c>
      <c r="D1" t="s">
        <v>1</v>
      </c>
      <c r="E1" t="s">
        <v>2</v>
      </c>
      <c r="F1" t="s">
        <v>61</v>
      </c>
      <c r="G1" t="s">
        <v>62</v>
      </c>
      <c r="H1" t="s">
        <v>18</v>
      </c>
      <c r="I1" t="s">
        <v>19</v>
      </c>
      <c r="J1" t="s">
        <v>20</v>
      </c>
      <c r="K1" t="s">
        <v>3</v>
      </c>
    </row>
    <row r="2" spans="1:11" x14ac:dyDescent="0.25">
      <c r="A2">
        <v>2022</v>
      </c>
      <c r="B2" s="4">
        <v>42211</v>
      </c>
      <c r="C2" s="3">
        <v>42211</v>
      </c>
      <c r="D2" t="s">
        <v>4</v>
      </c>
      <c r="E2" t="s">
        <v>7</v>
      </c>
      <c r="G2">
        <v>5</v>
      </c>
      <c r="H2">
        <v>1.301334</v>
      </c>
      <c r="I2">
        <v>2.4860150000000001</v>
      </c>
      <c r="J2">
        <v>3</v>
      </c>
      <c r="K2" t="s">
        <v>48</v>
      </c>
    </row>
    <row r="3" spans="1:11" x14ac:dyDescent="0.25">
      <c r="A3">
        <v>2021</v>
      </c>
      <c r="B3" s="4">
        <v>41574</v>
      </c>
      <c r="C3" s="3">
        <v>41574</v>
      </c>
      <c r="D3" t="s">
        <v>4</v>
      </c>
      <c r="E3" t="s">
        <v>7</v>
      </c>
      <c r="F3">
        <v>4.3</v>
      </c>
      <c r="G3">
        <v>4.266666667</v>
      </c>
      <c r="H3">
        <v>2.0750299999999999</v>
      </c>
      <c r="I3">
        <v>2.452807</v>
      </c>
      <c r="J3">
        <v>6</v>
      </c>
      <c r="K3" t="s">
        <v>49</v>
      </c>
    </row>
    <row r="4" spans="1:11" x14ac:dyDescent="0.25">
      <c r="A4">
        <v>2020</v>
      </c>
      <c r="B4" s="4">
        <v>41574</v>
      </c>
      <c r="C4" s="3">
        <v>41574</v>
      </c>
      <c r="D4" t="s">
        <v>4</v>
      </c>
      <c r="E4" t="s">
        <v>7</v>
      </c>
      <c r="F4">
        <v>4.5</v>
      </c>
      <c r="G4">
        <v>4.8187499999999996</v>
      </c>
      <c r="H4">
        <v>1.8229649999999999</v>
      </c>
      <c r="I4">
        <v>2.441068</v>
      </c>
      <c r="J4">
        <v>16</v>
      </c>
      <c r="K4" t="s">
        <v>50</v>
      </c>
    </row>
    <row r="5" spans="1:11" x14ac:dyDescent="0.25">
      <c r="A5">
        <v>2019</v>
      </c>
      <c r="B5" s="5">
        <v>22574.66</v>
      </c>
      <c r="C5" s="3">
        <v>41574</v>
      </c>
      <c r="D5" t="s">
        <v>4</v>
      </c>
      <c r="E5" t="s">
        <v>5</v>
      </c>
      <c r="F5">
        <v>4.7</v>
      </c>
      <c r="G5">
        <v>4.88</v>
      </c>
      <c r="H5">
        <v>1.719832</v>
      </c>
      <c r="I5">
        <v>2.4146459999999998</v>
      </c>
      <c r="J5">
        <v>20</v>
      </c>
      <c r="K5" t="s">
        <v>51</v>
      </c>
    </row>
    <row r="6" spans="1:11" x14ac:dyDescent="0.25">
      <c r="A6">
        <v>2018</v>
      </c>
      <c r="B6" s="4">
        <v>42204</v>
      </c>
      <c r="C6" s="3">
        <v>42204</v>
      </c>
      <c r="D6" t="s">
        <v>4</v>
      </c>
      <c r="E6" t="s">
        <v>7</v>
      </c>
      <c r="F6">
        <v>4.5999999999999996</v>
      </c>
      <c r="G6">
        <v>4.4190476189999996</v>
      </c>
      <c r="H6">
        <v>1.075974</v>
      </c>
      <c r="I6">
        <v>2.2533110000000001</v>
      </c>
      <c r="J6">
        <v>21</v>
      </c>
      <c r="K6" t="s">
        <v>52</v>
      </c>
    </row>
    <row r="7" spans="1:11" x14ac:dyDescent="0.25">
      <c r="A7">
        <v>2015</v>
      </c>
      <c r="B7" s="5">
        <v>24333.73</v>
      </c>
      <c r="C7" s="3">
        <v>42204</v>
      </c>
      <c r="D7" t="s">
        <v>4</v>
      </c>
      <c r="E7" t="s">
        <v>5</v>
      </c>
      <c r="F7">
        <v>4.8</v>
      </c>
      <c r="G7">
        <v>4.6159999999999997</v>
      </c>
      <c r="H7">
        <v>1.488327</v>
      </c>
      <c r="I7">
        <v>2.3815710000000001</v>
      </c>
      <c r="J7">
        <v>50</v>
      </c>
      <c r="K7" t="s">
        <v>53</v>
      </c>
    </row>
    <row r="8" spans="1:11" x14ac:dyDescent="0.25">
      <c r="A8">
        <v>2008</v>
      </c>
      <c r="B8" s="5">
        <v>27991.43</v>
      </c>
      <c r="C8" s="3">
        <v>30303</v>
      </c>
      <c r="D8" t="s">
        <v>4</v>
      </c>
      <c r="E8" t="s">
        <v>5</v>
      </c>
      <c r="F8">
        <v>4.8</v>
      </c>
      <c r="G8">
        <v>4.9000000000000004</v>
      </c>
      <c r="H8">
        <v>1.3609800000000001</v>
      </c>
      <c r="I8">
        <v>2.3909370000000001</v>
      </c>
      <c r="J8">
        <v>33</v>
      </c>
      <c r="K8" t="s">
        <v>54</v>
      </c>
    </row>
    <row r="9" spans="1:11" x14ac:dyDescent="0.25">
      <c r="A9">
        <v>2004</v>
      </c>
      <c r="B9" s="4">
        <v>30294</v>
      </c>
      <c r="C9" s="3">
        <v>30303</v>
      </c>
      <c r="D9" t="s">
        <v>4</v>
      </c>
      <c r="E9" t="s">
        <v>7</v>
      </c>
      <c r="F9">
        <v>4.7</v>
      </c>
      <c r="G9">
        <v>4.7534883719999996</v>
      </c>
      <c r="H9">
        <v>1.244656</v>
      </c>
      <c r="I9">
        <v>2.3090769999999998</v>
      </c>
      <c r="J9">
        <v>86</v>
      </c>
      <c r="K9" t="s">
        <v>55</v>
      </c>
    </row>
    <row r="10" spans="1:11" x14ac:dyDescent="0.25">
      <c r="A10">
        <v>2003</v>
      </c>
      <c r="B10" s="5">
        <v>21990.27</v>
      </c>
      <c r="C10" s="3">
        <v>30303</v>
      </c>
      <c r="D10" t="s">
        <v>4</v>
      </c>
      <c r="E10" t="s">
        <v>5</v>
      </c>
      <c r="F10">
        <v>4.5999999999999996</v>
      </c>
      <c r="G10">
        <v>4.6230769230000002</v>
      </c>
      <c r="H10">
        <v>1.337067</v>
      </c>
      <c r="I10">
        <v>2.2927219999999999</v>
      </c>
      <c r="J10">
        <v>39</v>
      </c>
      <c r="K10" t="s">
        <v>56</v>
      </c>
    </row>
    <row r="11" spans="1:11" x14ac:dyDescent="0.25">
      <c r="A11">
        <v>1972</v>
      </c>
      <c r="B11" s="5">
        <v>12991.02</v>
      </c>
      <c r="C11" s="3">
        <v>30303</v>
      </c>
      <c r="D11" t="s">
        <v>4</v>
      </c>
      <c r="E11" t="s">
        <v>5</v>
      </c>
      <c r="F11">
        <v>4.7</v>
      </c>
      <c r="G11">
        <v>4.7039999999999997</v>
      </c>
      <c r="H11">
        <v>1.6263529999999999</v>
      </c>
      <c r="I11">
        <v>2.3812579999999999</v>
      </c>
      <c r="J11">
        <v>25</v>
      </c>
      <c r="K11" t="s">
        <v>57</v>
      </c>
    </row>
    <row r="12" spans="1:11" x14ac:dyDescent="0.25">
      <c r="A12">
        <v>1969</v>
      </c>
      <c r="B12" s="5">
        <v>13971.72</v>
      </c>
      <c r="C12" s="3">
        <v>30303</v>
      </c>
      <c r="D12" t="s">
        <v>4</v>
      </c>
      <c r="E12" t="s">
        <v>5</v>
      </c>
      <c r="F12">
        <v>4.7</v>
      </c>
      <c r="G12">
        <v>4.5</v>
      </c>
      <c r="H12">
        <v>1.395411</v>
      </c>
      <c r="I12">
        <v>2.3557939999999999</v>
      </c>
      <c r="J12">
        <v>24</v>
      </c>
      <c r="K12" t="s">
        <v>58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F51-12D6-4879-8946-A386A6BA7A1B}">
  <dimension ref="A1:K27"/>
  <sheetViews>
    <sheetView workbookViewId="0">
      <selection activeCell="D11" sqref="D11"/>
    </sheetView>
  </sheetViews>
  <sheetFormatPr defaultRowHeight="15" x14ac:dyDescent="0.25"/>
  <cols>
    <col min="2" max="2" width="12.140625" bestFit="1" customWidth="1"/>
    <col min="3" max="3" width="23" bestFit="1" customWidth="1"/>
    <col min="4" max="4" width="18" customWidth="1"/>
    <col min="5" max="5" width="10.42578125" customWidth="1"/>
    <col min="6" max="6" width="23.42578125" bestFit="1" customWidth="1"/>
    <col min="7" max="7" width="24.42578125" bestFit="1" customWidth="1"/>
    <col min="8" max="9" width="16.5703125" bestFit="1" customWidth="1"/>
    <col min="10" max="10" width="18.7109375" bestFit="1" customWidth="1"/>
  </cols>
  <sheetData>
    <row r="1" spans="1:11" x14ac:dyDescent="0.25">
      <c r="A1" t="s">
        <v>0</v>
      </c>
      <c r="B1" t="s">
        <v>60</v>
      </c>
      <c r="C1" t="s">
        <v>59</v>
      </c>
      <c r="D1" t="s">
        <v>1</v>
      </c>
      <c r="E1" t="s">
        <v>2</v>
      </c>
      <c r="F1" t="s">
        <v>61</v>
      </c>
      <c r="G1" t="s">
        <v>62</v>
      </c>
      <c r="H1" t="s">
        <v>18</v>
      </c>
      <c r="I1" t="s">
        <v>19</v>
      </c>
      <c r="J1" t="s">
        <v>20</v>
      </c>
      <c r="K1" t="s">
        <v>3</v>
      </c>
    </row>
    <row r="2" spans="1:11" x14ac:dyDescent="0.25">
      <c r="A2">
        <v>2021</v>
      </c>
      <c r="B2">
        <v>109.95</v>
      </c>
      <c r="C2" s="1">
        <v>109.95</v>
      </c>
      <c r="D2" t="s">
        <v>4</v>
      </c>
      <c r="E2" t="s">
        <v>7</v>
      </c>
      <c r="F2">
        <v>4.5</v>
      </c>
      <c r="G2">
        <v>4.6124999999999998</v>
      </c>
      <c r="H2">
        <v>0.98200799999999999</v>
      </c>
      <c r="I2">
        <v>2.1349010000000002</v>
      </c>
      <c r="J2">
        <v>8</v>
      </c>
      <c r="K2" t="s">
        <v>21</v>
      </c>
    </row>
    <row r="3" spans="1:11" x14ac:dyDescent="0.25">
      <c r="A3">
        <v>2019</v>
      </c>
      <c r="B3">
        <v>201.95</v>
      </c>
      <c r="C3" s="1">
        <v>201.95</v>
      </c>
      <c r="D3" t="s">
        <v>4</v>
      </c>
      <c r="E3" t="s">
        <v>7</v>
      </c>
      <c r="F3">
        <v>4.4000000000000004</v>
      </c>
      <c r="G3">
        <v>4.28399999999999</v>
      </c>
      <c r="H3">
        <v>1.3184530000000001</v>
      </c>
      <c r="I3">
        <v>2.2543069999999998</v>
      </c>
      <c r="J3">
        <v>100</v>
      </c>
      <c r="K3" t="s">
        <v>22</v>
      </c>
    </row>
    <row r="4" spans="1:11" x14ac:dyDescent="0.25">
      <c r="A4">
        <v>2018</v>
      </c>
      <c r="B4">
        <v>220.49</v>
      </c>
      <c r="C4" t="s">
        <v>23</v>
      </c>
      <c r="D4" t="s">
        <v>4</v>
      </c>
      <c r="E4" t="s">
        <v>7</v>
      </c>
      <c r="F4">
        <v>4.4000000000000004</v>
      </c>
      <c r="G4">
        <v>4.3714285714285701</v>
      </c>
      <c r="H4">
        <v>1.222453</v>
      </c>
      <c r="I4">
        <v>2.2429329999999998</v>
      </c>
      <c r="J4">
        <v>91</v>
      </c>
      <c r="K4" t="s">
        <v>24</v>
      </c>
    </row>
    <row r="5" spans="1:11" x14ac:dyDescent="0.25">
      <c r="A5">
        <v>2017</v>
      </c>
      <c r="B5">
        <v>175</v>
      </c>
      <c r="C5" s="3">
        <v>175</v>
      </c>
      <c r="D5" t="s">
        <v>4</v>
      </c>
      <c r="E5" t="s">
        <v>7</v>
      </c>
      <c r="F5">
        <v>4.5</v>
      </c>
      <c r="G5">
        <v>4.4895161290322498</v>
      </c>
      <c r="H5">
        <v>1.040799</v>
      </c>
      <c r="I5">
        <v>2.205867</v>
      </c>
      <c r="J5">
        <v>124</v>
      </c>
      <c r="K5" t="s">
        <v>25</v>
      </c>
    </row>
    <row r="6" spans="1:11" x14ac:dyDescent="0.25">
      <c r="A6">
        <v>2015</v>
      </c>
      <c r="B6">
        <v>383</v>
      </c>
      <c r="C6" s="3">
        <v>383</v>
      </c>
      <c r="D6" t="s">
        <v>4</v>
      </c>
      <c r="E6" t="s">
        <v>7</v>
      </c>
      <c r="F6">
        <v>4.5</v>
      </c>
      <c r="G6">
        <v>4.4378378378378303</v>
      </c>
      <c r="H6">
        <v>1.1863360000000001</v>
      </c>
      <c r="I6">
        <v>2.2535449999999999</v>
      </c>
      <c r="J6">
        <v>148</v>
      </c>
      <c r="K6" t="s">
        <v>26</v>
      </c>
    </row>
    <row r="7" spans="1:11" x14ac:dyDescent="0.25">
      <c r="A7">
        <v>2014</v>
      </c>
      <c r="B7">
        <v>153.15</v>
      </c>
      <c r="C7" s="3">
        <v>383</v>
      </c>
      <c r="D7" t="s">
        <v>4</v>
      </c>
      <c r="E7" t="s">
        <v>5</v>
      </c>
      <c r="F7">
        <v>4.5</v>
      </c>
      <c r="G7">
        <v>4.4736040609136998</v>
      </c>
      <c r="H7">
        <v>1.0351509999999999</v>
      </c>
      <c r="I7">
        <v>2.194623</v>
      </c>
      <c r="J7">
        <v>197</v>
      </c>
      <c r="K7" t="s">
        <v>27</v>
      </c>
    </row>
    <row r="8" spans="1:11" x14ac:dyDescent="0.25">
      <c r="A8">
        <v>2011</v>
      </c>
      <c r="B8">
        <v>383</v>
      </c>
      <c r="C8" s="3">
        <v>383</v>
      </c>
      <c r="D8" t="s">
        <v>4</v>
      </c>
      <c r="E8" t="s">
        <v>7</v>
      </c>
      <c r="F8">
        <v>4.3</v>
      </c>
      <c r="G8">
        <v>4.2788235294117598</v>
      </c>
      <c r="H8">
        <v>1.195686</v>
      </c>
      <c r="I8">
        <v>2.2313749999999999</v>
      </c>
      <c r="J8">
        <v>170</v>
      </c>
      <c r="K8" t="s">
        <v>28</v>
      </c>
    </row>
    <row r="9" spans="1:11" x14ac:dyDescent="0.25">
      <c r="A9">
        <v>2010</v>
      </c>
      <c r="B9">
        <v>194.24</v>
      </c>
      <c r="C9" s="1">
        <v>194.24</v>
      </c>
      <c r="D9" t="s">
        <v>4</v>
      </c>
      <c r="E9" t="s">
        <v>7</v>
      </c>
      <c r="F9">
        <v>4.5</v>
      </c>
      <c r="G9">
        <v>4.4950207468879597</v>
      </c>
      <c r="H9">
        <v>1.0381499999999999</v>
      </c>
      <c r="I9">
        <v>2.239833</v>
      </c>
      <c r="J9">
        <v>241</v>
      </c>
      <c r="K9" t="s">
        <v>29</v>
      </c>
    </row>
    <row r="10" spans="1:11" x14ac:dyDescent="0.25">
      <c r="A10">
        <v>2009</v>
      </c>
      <c r="B10">
        <v>249.99</v>
      </c>
      <c r="C10" s="1">
        <v>249.99</v>
      </c>
      <c r="D10" t="s">
        <v>4</v>
      </c>
      <c r="E10" t="s">
        <v>7</v>
      </c>
      <c r="F10">
        <v>4.4000000000000004</v>
      </c>
      <c r="G10">
        <v>4.3805825242718397</v>
      </c>
      <c r="H10">
        <v>1.200971</v>
      </c>
      <c r="I10">
        <v>2.2532760000000001</v>
      </c>
      <c r="J10">
        <v>206</v>
      </c>
      <c r="K10" t="s">
        <v>30</v>
      </c>
    </row>
    <row r="11" spans="1:11" x14ac:dyDescent="0.25">
      <c r="A11">
        <v>2008</v>
      </c>
      <c r="B11">
        <v>194</v>
      </c>
      <c r="C11" s="3">
        <v>194</v>
      </c>
      <c r="D11" t="s">
        <v>4</v>
      </c>
      <c r="E11" t="s">
        <v>7</v>
      </c>
      <c r="F11">
        <v>4.5</v>
      </c>
      <c r="G11">
        <v>4.5235294117646996</v>
      </c>
      <c r="H11">
        <v>1.13988</v>
      </c>
      <c r="I11">
        <v>2.2305709999999999</v>
      </c>
      <c r="J11">
        <v>170</v>
      </c>
      <c r="K11" t="s">
        <v>31</v>
      </c>
    </row>
    <row r="12" spans="1:11" x14ac:dyDescent="0.25">
      <c r="A12">
        <v>2006</v>
      </c>
      <c r="B12">
        <v>205</v>
      </c>
      <c r="C12" s="3">
        <v>205</v>
      </c>
      <c r="D12" t="s">
        <v>4</v>
      </c>
      <c r="E12" t="s">
        <v>7</v>
      </c>
      <c r="F12">
        <v>4.5</v>
      </c>
      <c r="G12">
        <v>4.5257485029940101</v>
      </c>
      <c r="H12">
        <v>1.1078809999999999</v>
      </c>
      <c r="I12">
        <v>2.215049</v>
      </c>
      <c r="J12">
        <v>334</v>
      </c>
      <c r="K12" t="s">
        <v>32</v>
      </c>
    </row>
    <row r="13" spans="1:11" x14ac:dyDescent="0.25">
      <c r="A13">
        <v>2004</v>
      </c>
      <c r="B13">
        <v>194</v>
      </c>
      <c r="C13" s="3">
        <v>194</v>
      </c>
      <c r="D13" t="s">
        <v>4</v>
      </c>
      <c r="E13" t="s">
        <v>7</v>
      </c>
      <c r="F13">
        <v>4.5</v>
      </c>
      <c r="G13">
        <v>4.5112499999999898</v>
      </c>
      <c r="H13">
        <v>1.072535</v>
      </c>
      <c r="I13">
        <v>2.1861679999999999</v>
      </c>
      <c r="J13">
        <v>160</v>
      </c>
      <c r="K13" t="s">
        <v>33</v>
      </c>
    </row>
    <row r="14" spans="1:11" x14ac:dyDescent="0.25">
      <c r="A14">
        <v>2003</v>
      </c>
      <c r="B14">
        <v>118.98</v>
      </c>
      <c r="C14" s="3">
        <v>194</v>
      </c>
      <c r="D14" t="s">
        <v>4</v>
      </c>
      <c r="E14" t="s">
        <v>5</v>
      </c>
      <c r="F14">
        <v>4.5</v>
      </c>
      <c r="G14">
        <v>4.5078947368420996</v>
      </c>
      <c r="H14">
        <v>1.1628179999999999</v>
      </c>
      <c r="I14">
        <v>2.2300770000000001</v>
      </c>
      <c r="J14">
        <v>190</v>
      </c>
      <c r="K14" t="s">
        <v>34</v>
      </c>
    </row>
    <row r="15" spans="1:11" x14ac:dyDescent="0.25">
      <c r="A15">
        <v>2002</v>
      </c>
      <c r="B15">
        <v>220.49</v>
      </c>
      <c r="C15" s="1">
        <v>220.49</v>
      </c>
      <c r="D15" t="s">
        <v>4</v>
      </c>
      <c r="E15" t="s">
        <v>7</v>
      </c>
      <c r="F15">
        <v>4.5</v>
      </c>
      <c r="G15">
        <v>4.4452380952380901</v>
      </c>
      <c r="H15">
        <v>1.2997129999999999</v>
      </c>
      <c r="I15">
        <v>2.2964470000000001</v>
      </c>
      <c r="J15">
        <v>84</v>
      </c>
      <c r="K15" t="s">
        <v>35</v>
      </c>
    </row>
    <row r="16" spans="1:11" x14ac:dyDescent="0.25">
      <c r="A16">
        <v>2001</v>
      </c>
      <c r="B16">
        <v>147.72999999999999</v>
      </c>
      <c r="C16" s="1">
        <v>220.49</v>
      </c>
      <c r="D16" t="s">
        <v>4</v>
      </c>
      <c r="E16" t="s">
        <v>5</v>
      </c>
      <c r="F16">
        <v>4.4000000000000004</v>
      </c>
      <c r="G16">
        <v>4.3961038961038899</v>
      </c>
      <c r="H16">
        <v>1.225117</v>
      </c>
      <c r="I16">
        <v>2.272132</v>
      </c>
      <c r="J16">
        <v>77</v>
      </c>
      <c r="K16" t="s">
        <v>36</v>
      </c>
    </row>
    <row r="17" spans="1:11" x14ac:dyDescent="0.25">
      <c r="A17">
        <v>1999</v>
      </c>
      <c r="B17">
        <v>183.74</v>
      </c>
      <c r="C17" s="1">
        <v>183.74</v>
      </c>
      <c r="D17" t="s">
        <v>4</v>
      </c>
      <c r="E17" t="s">
        <v>7</v>
      </c>
      <c r="F17">
        <v>4.4000000000000004</v>
      </c>
      <c r="G17">
        <v>4.3745098039215602</v>
      </c>
      <c r="H17">
        <v>1.2395449999999999</v>
      </c>
      <c r="I17">
        <v>2.2304430000000002</v>
      </c>
      <c r="J17">
        <v>51</v>
      </c>
      <c r="K17" t="s">
        <v>37</v>
      </c>
    </row>
    <row r="18" spans="1:11" x14ac:dyDescent="0.25">
      <c r="A18">
        <v>1997</v>
      </c>
      <c r="B18">
        <v>422</v>
      </c>
      <c r="C18" s="1">
        <v>422</v>
      </c>
      <c r="D18" t="s">
        <v>4</v>
      </c>
      <c r="E18" t="s">
        <v>7</v>
      </c>
      <c r="F18">
        <v>4.5</v>
      </c>
      <c r="G18">
        <v>4.4945205479452</v>
      </c>
      <c r="H18">
        <v>1.2487299999999999</v>
      </c>
      <c r="I18">
        <v>2.2909630000000001</v>
      </c>
      <c r="J18">
        <v>73</v>
      </c>
      <c r="K18" t="s">
        <v>38</v>
      </c>
    </row>
    <row r="19" spans="1:11" x14ac:dyDescent="0.25">
      <c r="A19">
        <v>1994</v>
      </c>
      <c r="B19">
        <v>435.95</v>
      </c>
      <c r="C19" s="1">
        <v>435.95</v>
      </c>
      <c r="D19" t="s">
        <v>4</v>
      </c>
      <c r="E19" t="s">
        <v>7</v>
      </c>
      <c r="F19">
        <v>4.2</v>
      </c>
      <c r="G19">
        <v>4.0269230769230697</v>
      </c>
      <c r="H19">
        <v>1.4350419999999999</v>
      </c>
      <c r="I19">
        <v>2.3836520000000001</v>
      </c>
      <c r="J19">
        <v>26</v>
      </c>
      <c r="K19" t="s">
        <v>39</v>
      </c>
    </row>
    <row r="20" spans="1:11" x14ac:dyDescent="0.25">
      <c r="A20">
        <v>1993</v>
      </c>
      <c r="B20">
        <v>173.51</v>
      </c>
      <c r="C20" s="1">
        <v>435.95</v>
      </c>
      <c r="D20" t="s">
        <v>4</v>
      </c>
      <c r="E20" t="s">
        <v>5</v>
      </c>
      <c r="F20">
        <v>4.5999999999999996</v>
      </c>
      <c r="G20">
        <v>4.51212121212121</v>
      </c>
      <c r="H20">
        <v>1.0120180000000001</v>
      </c>
      <c r="I20">
        <v>2.1967050000000001</v>
      </c>
      <c r="J20">
        <v>33</v>
      </c>
      <c r="K20" t="s">
        <v>40</v>
      </c>
    </row>
    <row r="21" spans="1:11" x14ac:dyDescent="0.25">
      <c r="A21">
        <v>1992</v>
      </c>
      <c r="B21">
        <v>256.79000000000002</v>
      </c>
      <c r="C21" s="1">
        <v>435.95</v>
      </c>
      <c r="D21" t="s">
        <v>4</v>
      </c>
      <c r="E21" t="s">
        <v>5</v>
      </c>
      <c r="F21">
        <v>4.5</v>
      </c>
      <c r="G21">
        <v>4.6354838709677404</v>
      </c>
      <c r="H21">
        <v>1.2181040000000001</v>
      </c>
      <c r="I21">
        <v>2.2692830000000002</v>
      </c>
      <c r="J21">
        <v>31</v>
      </c>
      <c r="K21" t="s">
        <v>41</v>
      </c>
    </row>
    <row r="22" spans="1:11" x14ac:dyDescent="0.25">
      <c r="A22">
        <v>1987</v>
      </c>
      <c r="B22">
        <v>441.21</v>
      </c>
      <c r="C22" s="1">
        <v>439.95</v>
      </c>
      <c r="D22" t="s">
        <v>4</v>
      </c>
      <c r="E22" t="s">
        <v>5</v>
      </c>
      <c r="F22">
        <v>4.5</v>
      </c>
      <c r="G22">
        <v>4.46285714285714</v>
      </c>
      <c r="H22">
        <v>1.4314549999999999</v>
      </c>
      <c r="I22">
        <v>2.4055179999999998</v>
      </c>
      <c r="J22">
        <v>35</v>
      </c>
      <c r="K22" t="s">
        <v>42</v>
      </c>
    </row>
    <row r="23" spans="1:11" x14ac:dyDescent="0.25">
      <c r="A23">
        <v>1986</v>
      </c>
      <c r="B23">
        <v>439.95</v>
      </c>
      <c r="C23" s="1">
        <v>439.95</v>
      </c>
      <c r="D23" t="s">
        <v>4</v>
      </c>
      <c r="E23" t="s">
        <v>7</v>
      </c>
      <c r="F23">
        <v>4.4000000000000004</v>
      </c>
      <c r="G23">
        <v>4.2666666666666604</v>
      </c>
      <c r="H23">
        <v>0.98487800000000003</v>
      </c>
      <c r="I23">
        <v>2.1621769999999998</v>
      </c>
      <c r="J23">
        <v>18</v>
      </c>
      <c r="K23" t="s">
        <v>43</v>
      </c>
    </row>
    <row r="24" spans="1:11" x14ac:dyDescent="0.25">
      <c r="A24">
        <v>1983</v>
      </c>
      <c r="B24">
        <v>475.91</v>
      </c>
      <c r="C24" s="1">
        <v>439.95</v>
      </c>
      <c r="D24" t="s">
        <v>4</v>
      </c>
      <c r="E24" t="s">
        <v>5</v>
      </c>
      <c r="F24">
        <v>4.5</v>
      </c>
      <c r="G24">
        <v>3.8333333333333299</v>
      </c>
      <c r="H24">
        <v>1.6350290000000001</v>
      </c>
      <c r="I24">
        <v>2.5376069999999999</v>
      </c>
      <c r="J24">
        <v>9</v>
      </c>
      <c r="K24" t="s">
        <v>44</v>
      </c>
    </row>
    <row r="25" spans="1:11" x14ac:dyDescent="0.25">
      <c r="A25">
        <v>1980</v>
      </c>
      <c r="B25">
        <v>733.69</v>
      </c>
      <c r="C25" s="1">
        <v>499.95</v>
      </c>
      <c r="D25" t="s">
        <v>4</v>
      </c>
      <c r="E25" t="s">
        <v>5</v>
      </c>
      <c r="F25">
        <v>3.6</v>
      </c>
      <c r="G25">
        <v>4.2999999999999901</v>
      </c>
      <c r="H25">
        <v>1.2836099999999999</v>
      </c>
      <c r="I25">
        <v>2.3108970000000002</v>
      </c>
      <c r="J25">
        <v>5</v>
      </c>
      <c r="K25" t="s">
        <v>45</v>
      </c>
    </row>
    <row r="26" spans="1:11" x14ac:dyDescent="0.25">
      <c r="A26">
        <v>1979</v>
      </c>
      <c r="B26">
        <v>499.95</v>
      </c>
      <c r="C26" s="1">
        <v>499.95</v>
      </c>
      <c r="D26" t="s">
        <v>4</v>
      </c>
      <c r="E26" t="s">
        <v>7</v>
      </c>
      <c r="G26">
        <v>3.8333333333333299</v>
      </c>
      <c r="H26">
        <v>1.0030140000000001</v>
      </c>
      <c r="I26">
        <v>2.2800039999999999</v>
      </c>
      <c r="J26">
        <v>3</v>
      </c>
      <c r="K26" t="s">
        <v>46</v>
      </c>
    </row>
    <row r="27" spans="1:11" x14ac:dyDescent="0.25">
      <c r="A27">
        <v>1978</v>
      </c>
      <c r="B27">
        <v>638.51</v>
      </c>
      <c r="C27" s="1">
        <v>499.95</v>
      </c>
      <c r="D27" t="s">
        <v>4</v>
      </c>
      <c r="E27" t="s">
        <v>5</v>
      </c>
      <c r="G27">
        <v>4.1666666666666599</v>
      </c>
      <c r="H27">
        <v>1.303256</v>
      </c>
      <c r="I27">
        <v>2.3776700000000002</v>
      </c>
      <c r="J27">
        <v>6</v>
      </c>
      <c r="K27" t="s">
        <v>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A10" zoomScaleNormal="100" workbookViewId="0">
      <selection activeCell="L57" sqref="L57"/>
    </sheetView>
  </sheetViews>
  <sheetFormatPr defaultRowHeight="15" x14ac:dyDescent="0.25"/>
  <cols>
    <col min="3" max="3" width="23" bestFit="1" customWidth="1"/>
    <col min="4" max="4" width="12.85546875" customWidth="1"/>
    <col min="5" max="5" width="11" bestFit="1" customWidth="1"/>
    <col min="6" max="6" width="13.85546875" bestFit="1" customWidth="1"/>
    <col min="7" max="7" width="13.7109375" bestFit="1" customWidth="1"/>
    <col min="8" max="9" width="16.5703125" bestFit="1" customWidth="1"/>
    <col min="10" max="10" width="18.7109375" bestFit="1" customWidth="1"/>
  </cols>
  <sheetData>
    <row r="1" spans="1:11" x14ac:dyDescent="0.25">
      <c r="A1" t="s">
        <v>0</v>
      </c>
      <c r="B1" t="s">
        <v>60</v>
      </c>
      <c r="C1" t="s">
        <v>59</v>
      </c>
      <c r="D1" t="s">
        <v>1</v>
      </c>
      <c r="E1" t="s">
        <v>2</v>
      </c>
      <c r="F1" t="s">
        <v>61</v>
      </c>
      <c r="G1" t="s">
        <v>62</v>
      </c>
      <c r="H1" t="s">
        <v>18</v>
      </c>
      <c r="I1" t="s">
        <v>19</v>
      </c>
      <c r="J1" t="s">
        <v>20</v>
      </c>
      <c r="K1" t="s">
        <v>3</v>
      </c>
    </row>
    <row r="2" spans="1:11" x14ac:dyDescent="0.25">
      <c r="A2">
        <v>2021</v>
      </c>
      <c r="B2">
        <v>277.60000000000002</v>
      </c>
      <c r="C2" s="1">
        <v>224.99</v>
      </c>
      <c r="D2" t="s">
        <v>4</v>
      </c>
      <c r="E2" t="s">
        <v>5</v>
      </c>
      <c r="F2">
        <v>4.5</v>
      </c>
      <c r="G2">
        <v>4.5777777777777704</v>
      </c>
      <c r="H2">
        <v>1.2874829999999999</v>
      </c>
      <c r="I2">
        <v>2.2902550000000002</v>
      </c>
      <c r="J2">
        <v>18</v>
      </c>
      <c r="K2" t="s">
        <v>6</v>
      </c>
    </row>
    <row r="3" spans="1:11" x14ac:dyDescent="0.25">
      <c r="A3">
        <v>2020</v>
      </c>
      <c r="B3">
        <v>224.99</v>
      </c>
      <c r="C3" s="1">
        <v>224.99</v>
      </c>
      <c r="D3" t="s">
        <v>4</v>
      </c>
      <c r="E3" t="s">
        <v>7</v>
      </c>
      <c r="F3">
        <v>4.4000000000000004</v>
      </c>
      <c r="G3">
        <v>4.3879999999999901</v>
      </c>
      <c r="H3">
        <v>1.142579</v>
      </c>
      <c r="I3">
        <v>2.2380589999999998</v>
      </c>
      <c r="J3">
        <v>50</v>
      </c>
      <c r="K3" t="s">
        <v>8</v>
      </c>
    </row>
    <row r="4" spans="1:11" x14ac:dyDescent="0.25">
      <c r="A4">
        <v>2019</v>
      </c>
      <c r="B4">
        <v>245.52</v>
      </c>
      <c r="C4" s="1">
        <v>245.52</v>
      </c>
      <c r="D4" t="s">
        <v>4</v>
      </c>
      <c r="E4" t="s">
        <v>7</v>
      </c>
      <c r="F4">
        <v>4.5</v>
      </c>
      <c r="G4">
        <v>4.5338345864661598</v>
      </c>
      <c r="H4">
        <v>1.234</v>
      </c>
      <c r="I4">
        <v>2.2644310000000001</v>
      </c>
      <c r="J4">
        <v>133</v>
      </c>
      <c r="K4" t="s">
        <v>9</v>
      </c>
    </row>
    <row r="5" spans="1:11" x14ac:dyDescent="0.25">
      <c r="A5">
        <v>2014</v>
      </c>
      <c r="B5">
        <v>233</v>
      </c>
      <c r="C5" s="1">
        <v>245.52</v>
      </c>
      <c r="D5" t="s">
        <v>4</v>
      </c>
      <c r="E5" t="s">
        <v>5</v>
      </c>
      <c r="F5">
        <v>4.5999999999999996</v>
      </c>
      <c r="G5">
        <v>4.5627450980392101</v>
      </c>
      <c r="H5">
        <v>1.308821</v>
      </c>
      <c r="I5">
        <v>2.3143050000000001</v>
      </c>
      <c r="J5">
        <v>255</v>
      </c>
      <c r="K5" t="s">
        <v>10</v>
      </c>
    </row>
    <row r="6" spans="1:11" x14ac:dyDescent="0.25">
      <c r="A6">
        <v>2008</v>
      </c>
      <c r="B6">
        <v>218.13</v>
      </c>
      <c r="C6" s="1">
        <v>229.99</v>
      </c>
      <c r="D6" t="s">
        <v>4</v>
      </c>
      <c r="E6" t="s">
        <v>5</v>
      </c>
      <c r="F6">
        <v>4.4000000000000004</v>
      </c>
      <c r="G6">
        <v>4.4831081081080999</v>
      </c>
      <c r="H6">
        <v>1.2126079999999999</v>
      </c>
      <c r="I6">
        <v>2.296538</v>
      </c>
      <c r="J6">
        <v>148</v>
      </c>
      <c r="K6" s="2" t="s">
        <v>11</v>
      </c>
    </row>
    <row r="7" spans="1:11" x14ac:dyDescent="0.25">
      <c r="A7">
        <v>2005</v>
      </c>
      <c r="B7">
        <v>342.06</v>
      </c>
      <c r="C7" s="1">
        <v>229.99</v>
      </c>
      <c r="D7" t="s">
        <v>4</v>
      </c>
      <c r="E7" t="s">
        <v>5</v>
      </c>
      <c r="F7">
        <v>4.5</v>
      </c>
      <c r="G7">
        <v>4.5728260869565203</v>
      </c>
      <c r="H7">
        <v>1.1757470000000001</v>
      </c>
      <c r="I7">
        <v>2.2784680000000002</v>
      </c>
      <c r="J7">
        <v>92</v>
      </c>
      <c r="K7" t="s">
        <v>12</v>
      </c>
    </row>
    <row r="8" spans="1:11" x14ac:dyDescent="0.25">
      <c r="A8">
        <v>2004</v>
      </c>
      <c r="B8">
        <v>252.83</v>
      </c>
      <c r="C8" s="1">
        <v>229.99</v>
      </c>
      <c r="D8" t="s">
        <v>4</v>
      </c>
      <c r="E8" t="s">
        <v>5</v>
      </c>
      <c r="F8">
        <v>4.5</v>
      </c>
      <c r="G8">
        <v>4.4869047619047597</v>
      </c>
      <c r="H8">
        <v>1.1990229999999999</v>
      </c>
      <c r="I8">
        <v>2.2754400000000001</v>
      </c>
      <c r="J8">
        <v>84</v>
      </c>
      <c r="K8" t="s">
        <v>13</v>
      </c>
    </row>
    <row r="9" spans="1:11" x14ac:dyDescent="0.25">
      <c r="A9">
        <v>2003</v>
      </c>
      <c r="B9">
        <v>229.99</v>
      </c>
      <c r="C9" s="1">
        <v>229.99</v>
      </c>
      <c r="D9" t="s">
        <v>4</v>
      </c>
      <c r="E9" t="s">
        <v>7</v>
      </c>
      <c r="F9">
        <v>4.5</v>
      </c>
      <c r="G9">
        <v>4.5580645161290301</v>
      </c>
      <c r="H9">
        <v>1.1338079999999999</v>
      </c>
      <c r="I9">
        <v>2.2856860000000001</v>
      </c>
      <c r="J9">
        <v>62</v>
      </c>
      <c r="K9" t="s">
        <v>14</v>
      </c>
    </row>
    <row r="10" spans="1:11" x14ac:dyDescent="0.25">
      <c r="A10">
        <v>2002</v>
      </c>
      <c r="B10">
        <v>256.79000000000002</v>
      </c>
      <c r="C10" s="1">
        <v>229.99</v>
      </c>
      <c r="D10" t="s">
        <v>4</v>
      </c>
      <c r="E10" t="s">
        <v>5</v>
      </c>
      <c r="F10">
        <v>4.5999999999999996</v>
      </c>
      <c r="G10">
        <v>4.6142857142857103</v>
      </c>
      <c r="H10">
        <v>1.361289</v>
      </c>
      <c r="I10">
        <v>2.299131</v>
      </c>
      <c r="J10">
        <v>56</v>
      </c>
      <c r="K10" t="s">
        <v>15</v>
      </c>
    </row>
    <row r="11" spans="1:11" x14ac:dyDescent="0.25">
      <c r="A11">
        <v>2000</v>
      </c>
      <c r="B11">
        <v>267.7</v>
      </c>
      <c r="C11" s="1">
        <v>229.99</v>
      </c>
      <c r="D11" t="s">
        <v>4</v>
      </c>
      <c r="E11" t="s">
        <v>5</v>
      </c>
      <c r="F11">
        <v>4.5</v>
      </c>
      <c r="G11">
        <v>4.4957446808510602</v>
      </c>
      <c r="H11">
        <v>1.189308</v>
      </c>
      <c r="I11">
        <v>2.2307329999999999</v>
      </c>
      <c r="J11">
        <v>94</v>
      </c>
      <c r="K11" t="s">
        <v>16</v>
      </c>
    </row>
    <row r="12" spans="1:11" x14ac:dyDescent="0.25">
      <c r="A12">
        <v>1999</v>
      </c>
      <c r="B12">
        <v>381.72</v>
      </c>
      <c r="C12" s="1">
        <v>229.99</v>
      </c>
      <c r="D12" t="s">
        <v>4</v>
      </c>
      <c r="E12" t="s">
        <v>5</v>
      </c>
      <c r="F12">
        <v>4.5</v>
      </c>
      <c r="G12">
        <v>4.4581967213114702</v>
      </c>
      <c r="H12">
        <v>1.297617</v>
      </c>
      <c r="I12">
        <v>2.3030270000000002</v>
      </c>
      <c r="J12">
        <v>122</v>
      </c>
      <c r="K12" t="s">
        <v>17</v>
      </c>
    </row>
  </sheetData>
  <hyperlinks>
    <hyperlink ref="K6" r:id="rId1" location="all_reviews" xr:uid="{4EE15F3A-CB76-43AE-9BD2-4AB6BAA3F70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romanee_conti</vt:lpstr>
      <vt:lpstr>montelena estate</vt:lpstr>
      <vt:lpstr>ridge_montebello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 Laptop</dc:creator>
  <cp:lastModifiedBy>Library Laptop</cp:lastModifiedBy>
  <dcterms:created xsi:type="dcterms:W3CDTF">2025-10-25T01:23:17Z</dcterms:created>
  <dcterms:modified xsi:type="dcterms:W3CDTF">2025-11-10T06:15:49Z</dcterms:modified>
</cp:coreProperties>
</file>